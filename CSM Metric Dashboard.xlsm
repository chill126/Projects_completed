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ill\Desktop\"/>
    </mc:Choice>
  </mc:AlternateContent>
  <xr:revisionPtr revIDLastSave="0" documentId="8_{A993D4F2-EB96-46F1-9B1E-A6FBD10C4833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Home" sheetId="9" r:id="rId1"/>
    <sheet name="Bonus Calc" sheetId="2" r:id="rId2"/>
    <sheet name="Input Sheet" sheetId="3" r:id="rId3"/>
    <sheet name="Dealership List" sheetId="8" r:id="rId4"/>
    <sheet name="Activity" sheetId="7" r:id="rId5"/>
    <sheet name="At-Risk" sheetId="5" r:id="rId6"/>
    <sheet name="Projected Cancellations" sheetId="6" r:id="rId7"/>
  </sheets>
  <definedNames>
    <definedName name="_xlnm._FilterDatabase" localSheetId="5" hidden="1">'At-Risk'!$B$4:$V$33</definedName>
    <definedName name="_xlnm._FilterDatabase" localSheetId="1" hidden="1">'Bonus Calc'!$K$11:$P$19</definedName>
    <definedName name="_xlnm._FilterDatabase" localSheetId="2" hidden="1">'Input Sheet'!$B$6:$J$31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1" i="7" l="1"/>
  <c r="S15" i="7"/>
  <c r="G4" i="7" l="1"/>
  <c r="M21" i="7" l="1"/>
  <c r="N21" i="7"/>
  <c r="L21" i="7"/>
  <c r="K32" i="9"/>
  <c r="K28" i="9" s="1"/>
  <c r="D31" i="9"/>
  <c r="D30" i="9"/>
  <c r="D29" i="9"/>
  <c r="D28" i="9"/>
  <c r="I33" i="9"/>
  <c r="I29" i="9"/>
  <c r="I32" i="9"/>
  <c r="I31" i="9"/>
  <c r="I30" i="9"/>
  <c r="I28" i="9"/>
  <c r="G6" i="7"/>
  <c r="G5" i="7"/>
  <c r="J19" i="9" l="1"/>
  <c r="G19" i="9"/>
  <c r="M19" i="9"/>
  <c r="D32" i="9"/>
  <c r="R16" i="9" l="1"/>
  <c r="R18" i="9"/>
  <c r="Q18" i="9"/>
  <c r="Q17" i="9"/>
  <c r="Q16" i="9"/>
  <c r="P16" i="9"/>
  <c r="P17" i="9"/>
  <c r="P19" i="9"/>
  <c r="M16" i="9"/>
  <c r="M14" i="9"/>
  <c r="J16" i="9"/>
  <c r="J14" i="9"/>
  <c r="G16" i="9"/>
  <c r="G14" i="9"/>
  <c r="H6" i="7" s="1"/>
  <c r="J21" i="9" l="1"/>
  <c r="H5" i="7"/>
  <c r="M21" i="9"/>
  <c r="H4" i="7"/>
  <c r="AL12" i="9"/>
  <c r="G21" i="9"/>
  <c r="AL11" i="9"/>
  <c r="AL13" i="9"/>
  <c r="C22" i="9"/>
  <c r="U8" i="9" l="1"/>
  <c r="P4" i="8"/>
  <c r="R3" i="8"/>
  <c r="P3" i="8"/>
  <c r="M4" i="8"/>
  <c r="M3" i="8"/>
  <c r="I3" i="8"/>
  <c r="E14" i="2" l="1"/>
  <c r="K15" i="2" l="1"/>
  <c r="K16" i="2"/>
  <c r="K17" i="2"/>
  <c r="K18" i="2"/>
  <c r="K19" i="2"/>
  <c r="O12" i="2"/>
  <c r="O13" i="2"/>
  <c r="O14" i="2"/>
  <c r="O15" i="2"/>
  <c r="O16" i="2"/>
  <c r="O17" i="2"/>
  <c r="O18" i="2"/>
  <c r="O19" i="2"/>
  <c r="O11" i="2"/>
  <c r="AK2" i="8" l="1"/>
  <c r="X36" i="6" l="1"/>
  <c r="E31" i="9" s="1"/>
  <c r="R36" i="6"/>
  <c r="L36" i="6"/>
  <c r="E29" i="9" s="1"/>
  <c r="F36" i="6"/>
  <c r="E28" i="9" s="1"/>
  <c r="I31" i="3"/>
  <c r="B8" i="9" s="1"/>
  <c r="I38" i="6" l="1"/>
  <c r="E32" i="9" s="1"/>
  <c r="E30" i="9"/>
  <c r="S31" i="3"/>
  <c r="H8" i="9" l="1"/>
  <c r="E15" i="2"/>
  <c r="I5" i="7"/>
  <c r="M22" i="7" l="1"/>
  <c r="I4" i="7" l="1"/>
  <c r="O20" i="2"/>
  <c r="N22" i="7" l="1"/>
  <c r="I6" i="7"/>
  <c r="O22" i="2"/>
  <c r="U38" i="6"/>
  <c r="L3" i="7" l="1"/>
  <c r="U6" i="9" s="1"/>
  <c r="L22" i="7"/>
  <c r="H19" i="2"/>
  <c r="E19" i="2"/>
  <c r="F19" i="2"/>
  <c r="G19" i="2"/>
  <c r="E22" i="2" l="1"/>
  <c r="B28" i="2" s="1"/>
  <c r="O8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 Hill</author>
  </authors>
  <commentList>
    <comment ref="U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Chris Hill:</t>
        </r>
        <r>
          <rPr>
            <sz val="9"/>
            <color indexed="81"/>
            <rFont val="Tahoma"/>
            <family val="2"/>
          </rPr>
          <t xml:space="preserve">
Eligbility determined by filling out quarterly metrics on the Activity Page</t>
        </r>
      </text>
    </comment>
    <comment ref="U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Chris Hill:</t>
        </r>
        <r>
          <rPr>
            <sz val="9"/>
            <color indexed="81"/>
            <rFont val="Tahoma"/>
            <family val="2"/>
          </rPr>
          <t xml:space="preserve">
Monthly Metrics determined by marking checkboxes on the Activity page equaling the total number of tasks needed to be completed</t>
        </r>
      </text>
    </comment>
  </commentList>
</comments>
</file>

<file path=xl/sharedStrings.xml><?xml version="1.0" encoding="utf-8"?>
<sst xmlns="http://schemas.openxmlformats.org/spreadsheetml/2006/main" count="612" uniqueCount="212">
  <si>
    <t>Bonus</t>
  </si>
  <si>
    <t>My Attrition Thresholds</t>
  </si>
  <si>
    <t>Retention Calculator</t>
  </si>
  <si>
    <t>Whitespace Calculator</t>
  </si>
  <si>
    <t>Average Quarter MRR</t>
  </si>
  <si>
    <t>DealerSocket CSM Bonus Calculator</t>
  </si>
  <si>
    <t>My Quarterly Attrition</t>
  </si>
  <si>
    <t>My Quarterly Retention Bonus</t>
  </si>
  <si>
    <t>Dealership</t>
  </si>
  <si>
    <t>MRR Sold</t>
  </si>
  <si>
    <t>My Quarterly Whitespace Bonus</t>
  </si>
  <si>
    <t>Sum of sold MRR</t>
  </si>
  <si>
    <t>Total Quarterly Bonus</t>
  </si>
  <si>
    <t>Percentages</t>
  </si>
  <si>
    <t>Threshold and Percentages</t>
  </si>
  <si>
    <t>Sold MRR</t>
  </si>
  <si>
    <t>Total MRR</t>
  </si>
  <si>
    <t>*Note, if equations under Dealership are removed and will not link values from Sold Dealers Sheet, use this equation (='Sold Dealers'!A3 (or instead of the A3, whichever row/column cell you desire</t>
  </si>
  <si>
    <t>Bronze</t>
  </si>
  <si>
    <t>Silver</t>
  </si>
  <si>
    <t>Gold</t>
  </si>
  <si>
    <t>Platinum</t>
  </si>
  <si>
    <t>Reactive Support</t>
  </si>
  <si>
    <t>*Calls and email responded to within 24 hours</t>
  </si>
  <si>
    <t>Monthly Value Added Call</t>
  </si>
  <si>
    <t>Quarterly Strategic Conference Call</t>
  </si>
  <si>
    <t>Monthly Strategic Conference Call</t>
  </si>
  <si>
    <t>Quarterly Strategic Visit</t>
  </si>
  <si>
    <t>Weekly Email Update</t>
  </si>
  <si>
    <t>Precious Metal Deliverables</t>
  </si>
  <si>
    <t>Other General Requirements for Eligibility</t>
  </si>
  <si>
    <t>Enter all Precious Deliverable action taken in Salesforce in no later than 48 hours</t>
  </si>
  <si>
    <t>Email recaps for BR's, Conference Calls, and Value added calls within 48 hours</t>
  </si>
  <si>
    <t>Perform all internal SLA responsibilities, including phone calls made to New Cancellations with updated stage within 48 hours, and the opportunities resolved within 60 days</t>
  </si>
  <si>
    <t>Completion of PCS tasks, Health Check Processes, and other internal tasks within 48 hours of task assignment</t>
  </si>
  <si>
    <t>At Risk Tickets entered, updated, and resolved</t>
  </si>
  <si>
    <t>Attendance to weekly team meetings and At Risk weekly meetings</t>
  </si>
  <si>
    <t>Weekly emails sent to your director</t>
  </si>
  <si>
    <t>Cannot be on a Performance Improvement Plan (PIP)</t>
  </si>
  <si>
    <t>*only fill out white fields</t>
  </si>
  <si>
    <t>Official Close Date</t>
  </si>
  <si>
    <t>Link to Salesforce Opp</t>
  </si>
  <si>
    <t>Account Name</t>
  </si>
  <si>
    <t>Total Dealerships</t>
  </si>
  <si>
    <t>Reactive support</t>
  </si>
  <si>
    <t>Tasks</t>
  </si>
  <si>
    <t>Value Add Calls</t>
  </si>
  <si>
    <t>Store Visits</t>
  </si>
  <si>
    <t>Conference Calls</t>
  </si>
  <si>
    <t>Weekly Emails</t>
  </si>
  <si>
    <t>Yes</t>
  </si>
  <si>
    <t>-</t>
  </si>
  <si>
    <t>At-Risk</t>
  </si>
  <si>
    <t>Finance Approved Date</t>
  </si>
  <si>
    <t>MRR Lost</t>
  </si>
  <si>
    <t>Total Attrition</t>
  </si>
  <si>
    <t>Whitespace Sales</t>
  </si>
  <si>
    <t>Attrition</t>
  </si>
  <si>
    <t>Finalized</t>
  </si>
  <si>
    <t>Q1</t>
  </si>
  <si>
    <t>Q2</t>
  </si>
  <si>
    <t>Q3</t>
  </si>
  <si>
    <t>Q4</t>
  </si>
  <si>
    <t>End Contract Date</t>
  </si>
  <si>
    <t>MRR At Risk</t>
  </si>
  <si>
    <t>At Risk CSM Projection (Quarterly)</t>
  </si>
  <si>
    <t>At Risk Customer Log</t>
  </si>
  <si>
    <t>Status</t>
  </si>
  <si>
    <t>Case Number</t>
  </si>
  <si>
    <t>Resolution</t>
  </si>
  <si>
    <t>Case Comments</t>
  </si>
  <si>
    <t>New</t>
  </si>
  <si>
    <t>CSM-In Progress</t>
  </si>
  <si>
    <t>CSM-Leader-Review</t>
  </si>
  <si>
    <t>CET-In Progress</t>
  </si>
  <si>
    <t>CET-Leader Review</t>
  </si>
  <si>
    <t>Move to Cancellation Process</t>
  </si>
  <si>
    <t>Saved</t>
  </si>
  <si>
    <t>Product Swap</t>
  </si>
  <si>
    <t>Concession</t>
  </si>
  <si>
    <t>Consultation-Virtual</t>
  </si>
  <si>
    <t>Consultation-On-Site</t>
  </si>
  <si>
    <t>Virtual Classroom</t>
  </si>
  <si>
    <t>Re-Sign</t>
  </si>
  <si>
    <t>Quarterly 3 Total At Risk</t>
  </si>
  <si>
    <t>Quarter 2 Total At Risk</t>
  </si>
  <si>
    <t>Quarter 1 Total At Risk</t>
  </si>
  <si>
    <t>Quarter 4 Total At Risk</t>
  </si>
  <si>
    <t>Lost</t>
  </si>
  <si>
    <t>DT holding salesmaker contract hostage, cannot implement LRR. Desking package at risk</t>
  </si>
  <si>
    <t>Holding RR contract to term. Exploring product swap</t>
  </si>
  <si>
    <t>Group</t>
  </si>
  <si>
    <t>Metal</t>
  </si>
  <si>
    <t>Conference Call</t>
  </si>
  <si>
    <t>Value Added Call</t>
  </si>
  <si>
    <t>Monthly Activity Log</t>
  </si>
  <si>
    <t>Total Store Visits</t>
  </si>
  <si>
    <t>Total Conference Calls</t>
  </si>
  <si>
    <t>Total Value Added Calls</t>
  </si>
  <si>
    <t>02260300</t>
  </si>
  <si>
    <t>02260254</t>
  </si>
  <si>
    <t>02260273</t>
  </si>
  <si>
    <t>02326720</t>
  </si>
  <si>
    <t>02332998</t>
  </si>
  <si>
    <t>02283062</t>
  </si>
  <si>
    <t>02346468</t>
  </si>
  <si>
    <t>Dealership has requested payment and contract information for service items</t>
  </si>
  <si>
    <t>Monthly Activity by Checkboxes</t>
  </si>
  <si>
    <t>Last Visit Date</t>
  </si>
  <si>
    <t>Last Call Date</t>
  </si>
  <si>
    <t>C:\Users\chill\Desktop\Clear.png</t>
  </si>
  <si>
    <t>State</t>
  </si>
  <si>
    <t>City</t>
  </si>
  <si>
    <t>CRM</t>
  </si>
  <si>
    <t>Desking</t>
  </si>
  <si>
    <t>Inventory</t>
  </si>
  <si>
    <t>Web/Digital</t>
  </si>
  <si>
    <t>Revenue Radar</t>
  </si>
  <si>
    <t>Other</t>
  </si>
  <si>
    <t>Contact Number</t>
  </si>
  <si>
    <t>Contact Email</t>
  </si>
  <si>
    <t>Contact Name</t>
  </si>
  <si>
    <t>Contact Title</t>
  </si>
  <si>
    <t>iDMS</t>
  </si>
  <si>
    <t>02360008</t>
  </si>
  <si>
    <t>Dealership is shopping for CRM's at NADA</t>
  </si>
  <si>
    <t>Projected Annual Attrition</t>
  </si>
  <si>
    <t>Approximate Average Yearly Attrition Allowed (20%)</t>
  </si>
  <si>
    <t>Total CRM</t>
  </si>
  <si>
    <t>Total Web</t>
  </si>
  <si>
    <t>Total Inv</t>
  </si>
  <si>
    <t>Total Other</t>
  </si>
  <si>
    <t>Cancelled 2/28/18</t>
  </si>
  <si>
    <t>DNC</t>
  </si>
  <si>
    <t>Cancelled 1/28/18</t>
  </si>
  <si>
    <t>Merged</t>
  </si>
  <si>
    <t>Cancelled 3/21/18</t>
  </si>
  <si>
    <t xml:space="preserve">                                   Dealership List</t>
  </si>
  <si>
    <t>02253145</t>
  </si>
  <si>
    <t>Reviewing for resolution</t>
  </si>
  <si>
    <t>02365541</t>
  </si>
  <si>
    <t>02365542</t>
  </si>
  <si>
    <t>02365543</t>
  </si>
  <si>
    <t>02365545</t>
  </si>
  <si>
    <t>DealerSocket won't fix a desking defect</t>
  </si>
  <si>
    <t>Month 1 End Total MRR</t>
  </si>
  <si>
    <t xml:space="preserve">Month 2 End Total MRR </t>
  </si>
  <si>
    <t>Month 3 End Total MRR</t>
  </si>
  <si>
    <t>Month 1 Beginning MRR</t>
  </si>
  <si>
    <t>Service</t>
  </si>
  <si>
    <t>Metrics</t>
  </si>
  <si>
    <t>Total</t>
  </si>
  <si>
    <t>Monthly</t>
  </si>
  <si>
    <t>Daily</t>
  </si>
  <si>
    <t>Quarterly</t>
  </si>
  <si>
    <t>Precious Metal Count</t>
  </si>
  <si>
    <t>Monthly Metrics by Precious Metal</t>
  </si>
  <si>
    <t>Last Conference Call</t>
  </si>
  <si>
    <t>At Risk Case Count</t>
  </si>
  <si>
    <t>Marked Calls</t>
  </si>
  <si>
    <t>Monthly Calls Left</t>
  </si>
  <si>
    <t>Marked CC's</t>
  </si>
  <si>
    <t>Monthly CC's left</t>
  </si>
  <si>
    <t>Marked Visits</t>
  </si>
  <si>
    <t>Quarterly Visits Left</t>
  </si>
  <si>
    <t>At Risk MRR</t>
  </si>
  <si>
    <t>Saved MRR</t>
  </si>
  <si>
    <t>CSM  Leader Review</t>
  </si>
  <si>
    <t>CET In Progress</t>
  </si>
  <si>
    <t>CET Leader Review</t>
  </si>
  <si>
    <t>CSM  In progress</t>
  </si>
  <si>
    <t>Cancellation</t>
  </si>
  <si>
    <t>CSM Home Screen</t>
  </si>
  <si>
    <t>Total Quarterly Attrition</t>
  </si>
  <si>
    <t>Total Quarterly MRR Sold</t>
  </si>
  <si>
    <t>Yearly Total</t>
  </si>
  <si>
    <t>Dealership Count and MRR Pending Decommission by Quarter (Projected)</t>
  </si>
  <si>
    <t>Month 1 VAC</t>
  </si>
  <si>
    <t>Month 2 VAC</t>
  </si>
  <si>
    <t>Month 3 VAC</t>
  </si>
  <si>
    <t>Month 1 CC</t>
  </si>
  <si>
    <t>Month 2 CC</t>
  </si>
  <si>
    <t>Month 3 CC</t>
  </si>
  <si>
    <t>Month 1 Visits</t>
  </si>
  <si>
    <t>Month 2 Visits</t>
  </si>
  <si>
    <t>Month 3 Visits</t>
  </si>
  <si>
    <t>02398027</t>
  </si>
  <si>
    <t>Revenue Radar cancellation</t>
  </si>
  <si>
    <t>Swapped Revenue Radar for Blog Posts</t>
  </si>
  <si>
    <t>02398789</t>
  </si>
  <si>
    <t>Monthly Metric Eligibilty</t>
  </si>
  <si>
    <t>Monthly Store Visit</t>
  </si>
  <si>
    <t>Will not cancel if we can't resolve defect involving Manheim</t>
  </si>
  <si>
    <t>Not utilizing the tool, failure to adopt, don't listen to calls</t>
  </si>
  <si>
    <t>Product Functionality, not satisfied with CarWars product and usage</t>
  </si>
  <si>
    <t>Month Selection</t>
  </si>
  <si>
    <t>Month 1</t>
  </si>
  <si>
    <t>Month 2</t>
  </si>
  <si>
    <t>Month 3</t>
  </si>
  <si>
    <t>A</t>
  </si>
  <si>
    <t>Full cancellation</t>
  </si>
  <si>
    <t>Car Wars Cancellation</t>
  </si>
  <si>
    <t>Holding to contract, issues with Honda compliance and website functionality, Legal</t>
  </si>
  <si>
    <t>006fPr6l</t>
  </si>
  <si>
    <t>00cYuRn</t>
  </si>
  <si>
    <t>All client names redacted*</t>
  </si>
  <si>
    <t>006fo</t>
  </si>
  <si>
    <t>REDACTED</t>
  </si>
  <si>
    <t>poor build/implementation. CET, Case list created</t>
  </si>
  <si>
    <t>poor build/implementation. On-site visit conducted with associate</t>
  </si>
  <si>
    <t>Full Inventory Plus cancellation set for 4/27/18</t>
  </si>
  <si>
    <t>Redacted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</si>
</sst>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  <numFmt numFmtId="165" formatCode=";;;"/>
  </numFmts>
  <fonts count="20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4"/>
      <color theme="1"/>
      <name val="Aharoni"/>
      <charset val="177"/>
    </font>
    <font>
      <sz val="11"/>
      <color theme="1"/>
      <name val="Aharoni"/>
      <charset val="177"/>
    </font>
    <font>
      <sz val="18"/>
      <color theme="1"/>
      <name val="Aharoni"/>
      <charset val="177"/>
    </font>
    <font>
      <b/>
      <sz val="11"/>
      <color theme="1"/>
      <name val="Aharoni"/>
      <charset val="177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Aharoni"/>
      <charset val="177"/>
    </font>
    <font>
      <sz val="16"/>
      <color theme="1"/>
      <name val="Aharoni"/>
      <charset val="177"/>
    </font>
    <font>
      <sz val="11"/>
      <color theme="0" tint="-0.34998626667073579"/>
      <name val="Calibri"/>
      <family val="2"/>
      <scheme val="minor"/>
    </font>
    <font>
      <b/>
      <sz val="16"/>
      <name val="Calibri"/>
      <family val="2"/>
      <scheme val="minor"/>
    </font>
    <font>
      <sz val="11"/>
      <color theme="1"/>
      <name val="Trebuchet MS"/>
      <family val="2"/>
    </font>
    <font>
      <sz val="14"/>
      <color theme="1"/>
      <name val="Trebuchet MS"/>
      <family val="2"/>
    </font>
  </fonts>
  <fills count="71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8265"/>
        <bgColor indexed="64"/>
      </patternFill>
    </fill>
    <fill>
      <patternFill patternType="solid">
        <fgColor rgb="FFF1FB97"/>
        <bgColor indexed="64"/>
      </patternFill>
    </fill>
    <fill>
      <patternFill patternType="solid">
        <fgColor rgb="FFEBF967"/>
        <bgColor indexed="64"/>
      </patternFill>
    </fill>
    <fill>
      <patternFill patternType="solid">
        <fgColor rgb="FFFF643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4FBB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EEBFE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4"/>
        </stop>
      </gradientFill>
    </fill>
    <fill>
      <gradientFill type="path" left="0.5" right="0.5" top="0.5" bottom="0.5">
        <stop position="0">
          <color theme="0"/>
        </stop>
        <stop position="1">
          <color rgb="FF66FFCC"/>
        </stop>
      </gradientFill>
    </fill>
    <fill>
      <gradientFill>
        <stop position="0">
          <color theme="0"/>
        </stop>
        <stop position="1">
          <color rgb="FF00FF00"/>
        </stop>
      </gradientFill>
    </fill>
    <fill>
      <gradientFill degree="180">
        <stop position="0">
          <color theme="0"/>
        </stop>
        <stop position="1">
          <color rgb="FF00FF00"/>
        </stop>
      </gradientFill>
    </fill>
    <fill>
      <gradientFill type="path" left="0.5" right="0.5" top="0.5" bottom="0.5">
        <stop position="0">
          <color theme="0"/>
        </stop>
        <stop position="1">
          <color rgb="FF00B0F0"/>
        </stop>
      </gradientFill>
    </fill>
    <fill>
      <gradientFill type="path" left="0.5" right="0.5" top="0.5" bottom="0.5">
        <stop position="0">
          <color theme="0"/>
        </stop>
        <stop position="1">
          <color rgb="FF81FF81"/>
        </stop>
      </gradientFill>
    </fill>
    <fill>
      <gradientFill type="path" left="0.5" right="0.5" top="0.5" bottom="0.5">
        <stop position="0">
          <color theme="0"/>
        </stop>
        <stop position="1">
          <color rgb="FF9CCFFA"/>
        </stop>
      </gradientFill>
    </fill>
    <fill>
      <gradientFill type="path" left="0.5" right="0.5" top="0.5" bottom="0.5">
        <stop position="0">
          <color theme="0"/>
        </stop>
        <stop position="1">
          <color rgb="FFACB9CA"/>
        </stop>
      </gradientFill>
    </fill>
    <fill>
      <gradientFill type="path" left="0.5" right="0.5" top="0.5" bottom="0.5">
        <stop position="0">
          <color theme="0"/>
        </stop>
        <stop position="1">
          <color rgb="FF5B9BD5"/>
        </stop>
      </gradientFill>
    </fill>
    <fill>
      <gradientFill type="path" left="0.5" right="0.5" top="0.5" bottom="0.5">
        <stop position="0">
          <color theme="0"/>
        </stop>
        <stop position="1">
          <color rgb="FF66FF33"/>
        </stop>
      </gradientFill>
    </fill>
    <fill>
      <gradientFill type="path" left="0.5" right="0.5" top="0.5" bottom="0.5">
        <stop position="0">
          <color theme="0"/>
        </stop>
        <stop position="1">
          <color rgb="FFA7FF8B"/>
        </stop>
      </gradientFill>
    </fill>
    <fill>
      <gradientFill degree="270">
        <stop position="0">
          <color theme="0"/>
        </stop>
        <stop position="1">
          <color rgb="FF4FD1FF"/>
        </stop>
      </gradientFill>
    </fill>
    <fill>
      <gradientFill degree="270">
        <stop position="0">
          <color theme="0"/>
        </stop>
        <stop position="1">
          <color rgb="FFFCE4D6"/>
        </stop>
      </gradientFill>
    </fill>
    <fill>
      <gradientFill degree="270">
        <stop position="0">
          <color theme="0"/>
        </stop>
        <stop position="1">
          <color rgb="FFDDEBF7"/>
        </stop>
      </gradientFill>
    </fill>
    <fill>
      <gradientFill degree="270">
        <stop position="0">
          <color theme="0"/>
        </stop>
        <stop position="1">
          <color rgb="FFE2EFDA"/>
        </stop>
      </gradientFill>
    </fill>
    <fill>
      <gradientFill type="path" left="0.5" right="0.5" top="0.5" bottom="0.5">
        <stop position="0">
          <color theme="0"/>
        </stop>
        <stop position="1">
          <color rgb="FFFF0000"/>
        </stop>
      </gradientFill>
    </fill>
    <fill>
      <gradientFill degree="270">
        <stop position="0">
          <color theme="0"/>
        </stop>
        <stop position="1">
          <color rgb="FFFAC0B4"/>
        </stop>
      </gradientFill>
    </fill>
    <fill>
      <gradientFill type="path" left="0.5" right="0.5" top="0.5" bottom="0.5">
        <stop position="0">
          <color theme="2" tint="-9.8025452436902985E-2"/>
        </stop>
        <stop position="1">
          <color theme="0"/>
        </stop>
      </gradientFill>
    </fill>
    <fill>
      <gradientFill type="path" left="0.5" right="0.5" top="0.5" bottom="0.5">
        <stop position="0">
          <color rgb="FFFAC0B4"/>
        </stop>
        <stop position="1">
          <color theme="0"/>
        </stop>
      </gradientFill>
    </fill>
    <fill>
      <gradientFill degree="270">
        <stop position="0">
          <color theme="0"/>
        </stop>
        <stop position="1">
          <color theme="3" tint="0.59999389629810485"/>
        </stop>
      </gradientFill>
    </fill>
    <fill>
      <gradientFill degree="270">
        <stop position="0">
          <color theme="0"/>
        </stop>
        <stop position="1">
          <color theme="4" tint="0.59999389629810485"/>
        </stop>
      </gradientFill>
    </fill>
    <fill>
      <patternFill patternType="solid">
        <fgColor theme="4" tint="0.79998168889431442"/>
        <bgColor indexed="64"/>
      </patternFill>
    </fill>
    <fill>
      <gradientFill degree="90">
        <stop position="0">
          <color rgb="FFFF9797"/>
        </stop>
        <stop position="1">
          <color rgb="FFFF6565"/>
        </stop>
      </gradientFill>
    </fill>
    <fill>
      <patternFill patternType="solid">
        <fgColor theme="5" tint="0.79998168889431442"/>
        <bgColor indexed="64"/>
      </patternFill>
    </fill>
    <fill>
      <gradientFill degree="90">
        <stop position="0">
          <color theme="0"/>
        </stop>
        <stop position="0.5">
          <color rgb="FFF8AA70"/>
        </stop>
        <stop position="1">
          <color theme="0"/>
        </stop>
      </gradientFill>
    </fill>
    <fill>
      <gradientFill type="path" left="0.5" right="0.5" top="0.5" bottom="0.5">
        <stop position="0">
          <color theme="0"/>
        </stop>
        <stop position="1">
          <color theme="5" tint="0.59999389629810485"/>
        </stop>
      </gradientFill>
    </fill>
    <fill>
      <gradientFill type="path" left="0.5" right="0.5" top="0.5" bottom="0.5">
        <stop position="0">
          <color theme="0"/>
        </stop>
        <stop position="1">
          <color theme="9" tint="0.80001220740379042"/>
        </stop>
      </gradientFill>
    </fill>
    <fill>
      <gradientFill type="path" left="0.5" right="0.5" top="0.5" bottom="0.5">
        <stop position="0">
          <color theme="0"/>
        </stop>
        <stop position="1">
          <color theme="7" tint="0.80001220740379042"/>
        </stop>
      </gradientFill>
    </fill>
    <fill>
      <gradientFill type="path" left="0.5" right="0.5" top="0.5" bottom="0.5">
        <stop position="0">
          <color theme="0"/>
        </stop>
        <stop position="1">
          <color rgb="FFFF7C80"/>
        </stop>
      </gradientFill>
    </fill>
    <fill>
      <gradientFill type="path" left="0.5" right="0.5" top="0.5" bottom="0.5">
        <stop position="0">
          <color theme="0"/>
        </stop>
        <stop position="1">
          <color rgb="FFCCFFFF"/>
        </stop>
      </gradientFill>
    </fill>
    <fill>
      <gradientFill type="path" left="0.5" right="0.5" top="0.5" bottom="0.5">
        <stop position="0">
          <color theme="0"/>
        </stop>
        <stop position="1">
          <color rgb="FFFFCCFF"/>
        </stop>
      </gradientFill>
    </fill>
    <fill>
      <gradientFill type="path" left="0.5" right="0.5" top="0.5" bottom="0.5">
        <stop position="0">
          <color theme="0"/>
        </stop>
        <stop position="1">
          <color rgb="FFFFFF99"/>
        </stop>
      </gradientFill>
    </fill>
    <fill>
      <patternFill patternType="solid">
        <fgColor rgb="FFFFFF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8" tint="0.59999389629810485"/>
        <bgColor indexed="64"/>
      </patternFill>
    </fill>
    <fill>
      <gradientFill degree="270">
        <stop position="0">
          <color theme="9" tint="0.80001220740379042"/>
        </stop>
        <stop position="1">
          <color theme="9"/>
        </stop>
      </gradient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gradientFill degree="90">
        <stop position="0">
          <color theme="0"/>
        </stop>
        <stop position="0.5">
          <color theme="5" tint="0.59999389629810485"/>
        </stop>
        <stop position="1">
          <color theme="0"/>
        </stop>
      </gradient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A7FFA7"/>
        <bgColor indexed="64"/>
      </patternFill>
    </fill>
    <fill>
      <gradientFill degree="90">
        <stop position="0">
          <color theme="0" tint="-5.0965910824915313E-2"/>
        </stop>
        <stop position="0.5">
          <color theme="0" tint="-0.1490218817712943"/>
        </stop>
        <stop position="1">
          <color theme="0" tint="-5.0965910824915313E-2"/>
        </stop>
      </gradientFill>
    </fill>
    <fill>
      <patternFill patternType="solid">
        <fgColor rgb="FFFFC5C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AFAF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2" tint="-0.249977111117893"/>
      </right>
      <top style="thin">
        <color indexed="64"/>
      </top>
      <bottom style="thin">
        <color theme="2" tint="-0.24997711111789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indexed="64"/>
      </right>
      <top style="thin">
        <color indexed="64"/>
      </top>
      <bottom style="thin">
        <color theme="2" tint="-0.24997711111789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0.249977111117893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2" tint="-0.249977111117893"/>
      </right>
      <top style="thin">
        <color indexed="64"/>
      </top>
      <bottom style="thin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theme="2" tint="-0.249977111117893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theme="2" tint="-0.249977111117893"/>
      </bottom>
      <diagonal/>
    </border>
    <border>
      <left style="medium">
        <color indexed="64"/>
      </left>
      <right style="thin">
        <color indexed="64"/>
      </right>
      <top style="thin">
        <color theme="2" tint="-0.249977111117893"/>
      </top>
      <bottom/>
      <diagonal/>
    </border>
    <border>
      <left style="thin">
        <color indexed="64"/>
      </left>
      <right style="medium">
        <color indexed="64"/>
      </right>
      <top style="thin">
        <color theme="2" tint="-0.249977111117893"/>
      </top>
      <bottom style="thin">
        <color theme="2" tint="-0.249977111117893"/>
      </bottom>
      <diagonal/>
    </border>
    <border>
      <left style="medium">
        <color indexed="64"/>
      </left>
      <right style="thin">
        <color indexed="64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indexed="64"/>
      </left>
      <right style="medium">
        <color indexed="64"/>
      </right>
      <top style="thin">
        <color theme="2" tint="-0.249977111117893"/>
      </top>
      <bottom/>
      <diagonal/>
    </border>
    <border>
      <left style="medium">
        <color indexed="64"/>
      </left>
      <right style="thin">
        <color indexed="64"/>
      </right>
      <top style="thin">
        <color theme="2" tint="-0.249977111117893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0.249977111117893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2" tint="-0.249977111117893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61">
    <xf numFmtId="0" fontId="0" fillId="0" borderId="0" xfId="0"/>
    <xf numFmtId="9" fontId="0" fillId="11" borderId="1" xfId="0" applyNumberFormat="1" applyFill="1" applyBorder="1"/>
    <xf numFmtId="9" fontId="0" fillId="12" borderId="1" xfId="0" applyNumberFormat="1" applyFill="1" applyBorder="1"/>
    <xf numFmtId="9" fontId="0" fillId="13" borderId="1" xfId="0" applyNumberFormat="1" applyFill="1" applyBorder="1"/>
    <xf numFmtId="9" fontId="0" fillId="14" borderId="1" xfId="0" applyNumberFormat="1" applyFill="1" applyBorder="1"/>
    <xf numFmtId="2" fontId="0" fillId="10" borderId="1" xfId="0" applyNumberFormat="1" applyFill="1" applyBorder="1"/>
    <xf numFmtId="0" fontId="0" fillId="15" borderId="1" xfId="0" applyFont="1" applyFill="1" applyBorder="1"/>
    <xf numFmtId="0" fontId="0" fillId="19" borderId="1" xfId="0" applyFill="1" applyBorder="1" applyAlignment="1">
      <alignment horizontal="center"/>
    </xf>
    <xf numFmtId="0" fontId="0" fillId="3" borderId="19" xfId="0" applyFill="1" applyBorder="1"/>
    <xf numFmtId="0" fontId="0" fillId="3" borderId="20" xfId="0" applyFill="1" applyBorder="1"/>
    <xf numFmtId="0" fontId="0" fillId="3" borderId="21" xfId="0" applyFill="1" applyBorder="1"/>
    <xf numFmtId="0" fontId="0" fillId="3" borderId="22" xfId="0" applyFill="1" applyBorder="1"/>
    <xf numFmtId="0" fontId="0" fillId="3" borderId="23" xfId="0" applyFill="1" applyBorder="1"/>
    <xf numFmtId="0" fontId="0" fillId="3" borderId="0" xfId="0" applyFill="1" applyBorder="1"/>
    <xf numFmtId="0" fontId="0" fillId="3" borderId="0" xfId="0" applyFill="1" applyBorder="1" applyAlignment="1">
      <alignment horizontal="center" vertical="center"/>
    </xf>
    <xf numFmtId="0" fontId="0" fillId="3" borderId="24" xfId="0" applyFill="1" applyBorder="1"/>
    <xf numFmtId="0" fontId="0" fillId="3" borderId="0" xfId="0" applyFill="1" applyBorder="1" applyAlignment="1">
      <alignment horizontal="center"/>
    </xf>
    <xf numFmtId="0" fontId="3" fillId="3" borderId="20" xfId="0" applyFont="1" applyFill="1" applyBorder="1"/>
    <xf numFmtId="0" fontId="0" fillId="20" borderId="15" xfId="0" applyFill="1" applyBorder="1" applyAlignment="1">
      <alignment horizontal="center"/>
    </xf>
    <xf numFmtId="0" fontId="0" fillId="19" borderId="15" xfId="0" applyFill="1" applyBorder="1" applyAlignment="1">
      <alignment horizontal="center"/>
    </xf>
    <xf numFmtId="0" fontId="0" fillId="20" borderId="0" xfId="0" applyFill="1"/>
    <xf numFmtId="0" fontId="0" fillId="0" borderId="0" xfId="0" applyBorder="1" applyAlignment="1" applyProtection="1">
      <protection locked="0"/>
    </xf>
    <xf numFmtId="0" fontId="7" fillId="0" borderId="0" xfId="1" applyBorder="1" applyAlignment="1" applyProtection="1">
      <alignment horizontal="fill" shrinkToFit="1"/>
      <protection locked="0"/>
    </xf>
    <xf numFmtId="14" fontId="0" fillId="0" borderId="0" xfId="0" applyNumberFormat="1" applyBorder="1" applyAlignment="1" applyProtection="1">
      <protection locked="0"/>
    </xf>
    <xf numFmtId="0" fontId="0" fillId="0" borderId="0" xfId="0" applyBorder="1" applyAlignment="1" applyProtection="1">
      <alignment horizontal="fill" shrinkToFit="1"/>
      <protection locked="0"/>
    </xf>
    <xf numFmtId="0" fontId="0" fillId="0" borderId="44" xfId="0" applyFill="1" applyBorder="1" applyProtection="1">
      <protection locked="0"/>
    </xf>
    <xf numFmtId="0" fontId="0" fillId="0" borderId="44" xfId="0" applyBorder="1" applyProtection="1">
      <protection locked="0"/>
    </xf>
    <xf numFmtId="0" fontId="0" fillId="0" borderId="0" xfId="0" applyAlignment="1">
      <alignment horizontal="center" vertical="center"/>
    </xf>
    <xf numFmtId="0" fontId="0" fillId="0" borderId="22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65" fontId="0" fillId="0" borderId="0" xfId="0" applyNumberFormat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0" borderId="0" xfId="0" applyFill="1" applyAlignment="1">
      <alignment horizontal="left" vertical="center"/>
    </xf>
    <xf numFmtId="165" fontId="0" fillId="20" borderId="0" xfId="0" applyNumberFormat="1" applyFill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8" borderId="55" xfId="0" applyFill="1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0" fontId="0" fillId="20" borderId="0" xfId="0" applyFill="1" applyBorder="1"/>
    <xf numFmtId="0" fontId="0" fillId="0" borderId="0" xfId="0" applyBorder="1"/>
    <xf numFmtId="0" fontId="0" fillId="0" borderId="23" xfId="0" applyBorder="1"/>
    <xf numFmtId="0" fontId="0" fillId="0" borderId="0" xfId="0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8" xfId="0" applyBorder="1"/>
    <xf numFmtId="165" fontId="0" fillId="0" borderId="9" xfId="0" applyNumberFormat="1" applyBorder="1" applyAlignment="1">
      <alignment horizontal="center" vertical="center"/>
    </xf>
    <xf numFmtId="0" fontId="0" fillId="0" borderId="8" xfId="0" applyNumberFormat="1" applyBorder="1" applyAlignment="1">
      <alignment horizontal="left"/>
    </xf>
    <xf numFmtId="0" fontId="12" fillId="20" borderId="0" xfId="0" applyFont="1" applyFill="1"/>
    <xf numFmtId="0" fontId="12" fillId="0" borderId="0" xfId="0" applyFont="1"/>
    <xf numFmtId="0" fontId="13" fillId="60" borderId="30" xfId="0" applyFont="1" applyFill="1" applyBorder="1" applyAlignment="1">
      <alignment vertical="center"/>
    </xf>
    <xf numFmtId="0" fontId="13" fillId="60" borderId="31" xfId="0" applyFont="1" applyFill="1" applyBorder="1" applyAlignment="1">
      <alignment vertical="center"/>
    </xf>
    <xf numFmtId="0" fontId="0" fillId="60" borderId="20" xfId="0" applyFill="1" applyBorder="1" applyAlignment="1">
      <alignment vertical="center"/>
    </xf>
    <xf numFmtId="0" fontId="0" fillId="60" borderId="20" xfId="0" applyFill="1" applyBorder="1" applyAlignment="1">
      <alignment horizontal="left" vertical="center"/>
    </xf>
    <xf numFmtId="0" fontId="0" fillId="60" borderId="20" xfId="0" applyFill="1" applyBorder="1"/>
    <xf numFmtId="0" fontId="0" fillId="60" borderId="21" xfId="0" applyFill="1" applyBorder="1"/>
    <xf numFmtId="0" fontId="0" fillId="60" borderId="30" xfId="0" applyFill="1" applyBorder="1"/>
    <xf numFmtId="44" fontId="0" fillId="44" borderId="5" xfId="0" applyNumberFormat="1" applyFill="1" applyBorder="1" applyAlignment="1">
      <alignment vertical="center"/>
    </xf>
    <xf numFmtId="44" fontId="0" fillId="5" borderId="5" xfId="0" applyNumberFormat="1" applyFill="1" applyBorder="1" applyAlignment="1">
      <alignment vertical="center"/>
    </xf>
    <xf numFmtId="44" fontId="0" fillId="46" borderId="11" xfId="0" applyNumberFormat="1" applyFill="1" applyBorder="1" applyAlignment="1">
      <alignment vertical="center"/>
    </xf>
    <xf numFmtId="44" fontId="0" fillId="62" borderId="11" xfId="0" applyNumberFormat="1" applyFill="1" applyBorder="1" applyAlignment="1">
      <alignment vertical="center"/>
    </xf>
    <xf numFmtId="0" fontId="0" fillId="60" borderId="23" xfId="0" applyFill="1" applyBorder="1"/>
    <xf numFmtId="44" fontId="16" fillId="20" borderId="0" xfId="0" applyNumberFormat="1" applyFont="1" applyFill="1"/>
    <xf numFmtId="0" fontId="0" fillId="21" borderId="0" xfId="0" applyFill="1"/>
    <xf numFmtId="0" fontId="0" fillId="21" borderId="0" xfId="0" applyFill="1" applyAlignment="1"/>
    <xf numFmtId="0" fontId="0" fillId="21" borderId="0" xfId="0" applyNumberFormat="1" applyFill="1"/>
    <xf numFmtId="165" fontId="0" fillId="21" borderId="0" xfId="0" applyNumberFormat="1" applyFill="1"/>
    <xf numFmtId="165" fontId="0" fillId="21" borderId="0" xfId="0" applyNumberFormat="1" applyFill="1" applyAlignment="1"/>
    <xf numFmtId="0" fontId="0" fillId="0" borderId="0" xfId="0" applyAlignment="1">
      <alignment horizontal="center"/>
    </xf>
    <xf numFmtId="44" fontId="0" fillId="0" borderId="0" xfId="0" applyNumberFormat="1"/>
    <xf numFmtId="0" fontId="0" fillId="20" borderId="0" xfId="0" applyFill="1" applyAlignment="1">
      <alignment horizontal="center"/>
    </xf>
    <xf numFmtId="4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55" borderId="38" xfId="0" applyFill="1" applyBorder="1" applyAlignment="1">
      <alignment horizontal="center" vertical="center"/>
    </xf>
    <xf numFmtId="0" fontId="0" fillId="56" borderId="9" xfId="0" applyFill="1" applyBorder="1" applyAlignment="1">
      <alignment horizontal="center" vertical="center"/>
    </xf>
    <xf numFmtId="0" fontId="0" fillId="57" borderId="39" xfId="0" applyFill="1" applyBorder="1" applyAlignment="1">
      <alignment horizontal="center" vertical="center"/>
    </xf>
    <xf numFmtId="0" fontId="15" fillId="60" borderId="20" xfId="0" applyFont="1" applyFill="1" applyBorder="1" applyAlignment="1">
      <alignment horizontal="center" vertical="center"/>
    </xf>
    <xf numFmtId="0" fontId="15" fillId="60" borderId="0" xfId="0" applyFont="1" applyFill="1" applyBorder="1" applyAlignment="1">
      <alignment horizontal="center" vertical="center"/>
    </xf>
    <xf numFmtId="0" fontId="0" fillId="65" borderId="1" xfId="0" applyFill="1" applyBorder="1" applyAlignment="1">
      <alignment horizontal="center"/>
    </xf>
    <xf numFmtId="0" fontId="0" fillId="60" borderId="0" xfId="0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" fontId="0" fillId="55" borderId="21" xfId="0" applyNumberFormat="1" applyFill="1" applyBorder="1" applyAlignment="1">
      <alignment horizontal="center" vertical="center"/>
    </xf>
    <xf numFmtId="2" fontId="0" fillId="56" borderId="23" xfId="0" applyNumberFormat="1" applyFill="1" applyBorder="1" applyAlignment="1">
      <alignment horizontal="center" vertical="center"/>
    </xf>
    <xf numFmtId="2" fontId="0" fillId="57" borderId="31" xfId="0" applyNumberForma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27" borderId="20" xfId="0" applyFill="1" applyBorder="1" applyAlignment="1">
      <alignment horizontal="center" vertical="center"/>
    </xf>
    <xf numFmtId="165" fontId="0" fillId="0" borderId="0" xfId="0" applyNumberFormat="1"/>
    <xf numFmtId="0" fontId="18" fillId="0" borderId="55" xfId="0" applyFont="1" applyBorder="1" applyAlignment="1">
      <alignment horizontal="center" vertical="center"/>
    </xf>
    <xf numFmtId="0" fontId="0" fillId="55" borderId="35" xfId="0" applyFill="1" applyBorder="1" applyAlignment="1">
      <alignment horizontal="center" vertical="center"/>
    </xf>
    <xf numFmtId="0" fontId="0" fillId="55" borderId="36" xfId="0" applyFill="1" applyBorder="1" applyAlignment="1">
      <alignment horizontal="center" vertical="center"/>
    </xf>
    <xf numFmtId="0" fontId="0" fillId="68" borderId="35" xfId="0" applyFill="1" applyBorder="1" applyAlignment="1">
      <alignment horizontal="center" vertical="center"/>
    </xf>
    <xf numFmtId="0" fontId="0" fillId="68" borderId="36" xfId="0" applyFill="1" applyBorder="1" applyAlignment="1">
      <alignment horizontal="center" vertical="center"/>
    </xf>
    <xf numFmtId="0" fontId="0" fillId="4" borderId="35" xfId="0" applyFill="1" applyBorder="1" applyAlignment="1">
      <alignment horizontal="center" vertical="center"/>
    </xf>
    <xf numFmtId="0" fontId="0" fillId="4" borderId="36" xfId="0" applyFill="1" applyBorder="1" applyAlignment="1">
      <alignment horizontal="center" vertical="center"/>
    </xf>
    <xf numFmtId="0" fontId="0" fillId="44" borderId="1" xfId="0" applyFill="1" applyBorder="1" applyAlignment="1">
      <alignment horizontal="center"/>
    </xf>
    <xf numFmtId="0" fontId="0" fillId="16" borderId="44" xfId="0" applyFill="1" applyBorder="1" applyAlignment="1">
      <alignment horizontal="center"/>
    </xf>
    <xf numFmtId="0" fontId="0" fillId="22" borderId="41" xfId="0" applyFont="1" applyFill="1" applyBorder="1" applyAlignment="1">
      <alignment horizontal="center" vertical="center"/>
    </xf>
    <xf numFmtId="0" fontId="0" fillId="22" borderId="60" xfId="0" applyFill="1" applyBorder="1"/>
    <xf numFmtId="0" fontId="0" fillId="22" borderId="62" xfId="0" applyFill="1" applyBorder="1"/>
    <xf numFmtId="0" fontId="0" fillId="22" borderId="64" xfId="0" applyFill="1" applyBorder="1"/>
    <xf numFmtId="0" fontId="0" fillId="22" borderId="66" xfId="0" applyFill="1" applyBorder="1"/>
    <xf numFmtId="0" fontId="0" fillId="21" borderId="13" xfId="0" applyFill="1" applyBorder="1" applyAlignment="1">
      <alignment horizontal="center" vertical="center"/>
    </xf>
    <xf numFmtId="0" fontId="0" fillId="21" borderId="33" xfId="0" applyFill="1" applyBorder="1" applyAlignment="1">
      <alignment horizontal="center" vertical="center"/>
    </xf>
    <xf numFmtId="0" fontId="0" fillId="21" borderId="61" xfId="0" applyFill="1" applyBorder="1" applyAlignment="1">
      <alignment horizontal="center" vertical="center"/>
    </xf>
    <xf numFmtId="0" fontId="0" fillId="21" borderId="32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1" borderId="63" xfId="0" applyFill="1" applyBorder="1" applyAlignment="1">
      <alignment horizontal="center" vertical="center"/>
    </xf>
    <xf numFmtId="0" fontId="0" fillId="21" borderId="16" xfId="0" applyFill="1" applyBorder="1" applyAlignment="1">
      <alignment horizontal="center" vertical="center"/>
    </xf>
    <xf numFmtId="0" fontId="0" fillId="21" borderId="65" xfId="0" applyFill="1" applyBorder="1" applyAlignment="1">
      <alignment horizontal="center" vertical="center"/>
    </xf>
    <xf numFmtId="0" fontId="0" fillId="21" borderId="67" xfId="0" applyFill="1" applyBorder="1" applyAlignment="1">
      <alignment horizontal="center" vertical="center"/>
    </xf>
    <xf numFmtId="0" fontId="0" fillId="21" borderId="30" xfId="0" applyFill="1" applyBorder="1" applyAlignment="1">
      <alignment horizontal="center" vertical="center"/>
    </xf>
    <xf numFmtId="0" fontId="0" fillId="21" borderId="68" xfId="0" applyFill="1" applyBorder="1" applyAlignment="1">
      <alignment horizontal="center" vertical="center"/>
    </xf>
    <xf numFmtId="0" fontId="0" fillId="21" borderId="23" xfId="0" applyFill="1" applyBorder="1" applyAlignment="1">
      <alignment horizontal="center" vertical="center"/>
    </xf>
    <xf numFmtId="164" fontId="0" fillId="21" borderId="35" xfId="0" applyNumberFormat="1" applyFill="1" applyBorder="1" applyAlignment="1">
      <alignment horizontal="center" vertical="center"/>
    </xf>
    <xf numFmtId="0" fontId="0" fillId="21" borderId="21" xfId="0" applyFill="1" applyBorder="1" applyAlignment="1">
      <alignment horizontal="center" vertical="center"/>
    </xf>
    <xf numFmtId="0" fontId="0" fillId="21" borderId="31" xfId="0" applyFill="1" applyBorder="1" applyAlignment="1">
      <alignment horizontal="center" vertical="center"/>
    </xf>
    <xf numFmtId="164" fontId="0" fillId="21" borderId="36" xfId="0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55" borderId="21" xfId="0" applyFill="1" applyBorder="1" applyAlignment="1">
      <alignment horizontal="center" vertical="center"/>
    </xf>
    <xf numFmtId="0" fontId="0" fillId="0" borderId="22" xfId="0" applyBorder="1"/>
    <xf numFmtId="0" fontId="0" fillId="0" borderId="71" xfId="0" applyBorder="1" applyAlignment="1">
      <alignment horizontal="center" vertical="center"/>
    </xf>
    <xf numFmtId="0" fontId="7" fillId="0" borderId="0" xfId="1"/>
    <xf numFmtId="0" fontId="0" fillId="4" borderId="56" xfId="0" applyFill="1" applyBorder="1" applyAlignment="1">
      <alignment horizontal="center" vertical="center"/>
    </xf>
    <xf numFmtId="0" fontId="0" fillId="55" borderId="70" xfId="0" applyFill="1" applyBorder="1" applyAlignment="1">
      <alignment horizontal="center" vertical="center"/>
    </xf>
    <xf numFmtId="0" fontId="0" fillId="68" borderId="55" xfId="0" applyFill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5" xfId="0" applyBorder="1"/>
    <xf numFmtId="0" fontId="0" fillId="67" borderId="19" xfId="0" applyFill="1" applyBorder="1" applyAlignment="1">
      <alignment horizontal="center" vertical="center"/>
    </xf>
    <xf numFmtId="0" fontId="0" fillId="67" borderId="20" xfId="0" applyFill="1" applyBorder="1" applyAlignment="1">
      <alignment horizontal="center" vertical="center"/>
    </xf>
    <xf numFmtId="0" fontId="0" fillId="67" borderId="21" xfId="0" applyFill="1" applyBorder="1" applyAlignment="1">
      <alignment horizontal="center" vertical="center"/>
    </xf>
    <xf numFmtId="0" fontId="0" fillId="67" borderId="22" xfId="0" applyFill="1" applyBorder="1" applyAlignment="1">
      <alignment horizontal="center" vertical="center"/>
    </xf>
    <xf numFmtId="0" fontId="0" fillId="67" borderId="0" xfId="0" applyFill="1" applyBorder="1" applyAlignment="1">
      <alignment horizontal="center" vertical="center"/>
    </xf>
    <xf numFmtId="0" fontId="0" fillId="67" borderId="23" xfId="0" applyFill="1" applyBorder="1" applyAlignment="1">
      <alignment horizontal="center" vertical="center"/>
    </xf>
    <xf numFmtId="164" fontId="0" fillId="21" borderId="19" xfId="0" applyNumberFormat="1" applyFill="1" applyBorder="1" applyAlignment="1">
      <alignment horizontal="center" vertical="center"/>
    </xf>
    <xf numFmtId="164" fontId="0" fillId="21" borderId="20" xfId="0" applyNumberFormat="1" applyFill="1" applyBorder="1" applyAlignment="1">
      <alignment horizontal="center" vertical="center"/>
    </xf>
    <xf numFmtId="164" fontId="0" fillId="21" borderId="21" xfId="0" applyNumberFormat="1" applyFill="1" applyBorder="1" applyAlignment="1">
      <alignment horizontal="center" vertical="center"/>
    </xf>
    <xf numFmtId="164" fontId="0" fillId="21" borderId="29" xfId="0" applyNumberFormat="1" applyFill="1" applyBorder="1" applyAlignment="1">
      <alignment horizontal="center" vertical="center"/>
    </xf>
    <xf numFmtId="164" fontId="0" fillId="21" borderId="30" xfId="0" applyNumberFormat="1" applyFill="1" applyBorder="1" applyAlignment="1">
      <alignment horizontal="center" vertical="center"/>
    </xf>
    <xf numFmtId="164" fontId="0" fillId="21" borderId="31" xfId="0" applyNumberFormat="1" applyFill="1" applyBorder="1" applyAlignment="1">
      <alignment horizontal="center" vertical="center"/>
    </xf>
    <xf numFmtId="0" fontId="17" fillId="60" borderId="19" xfId="0" applyFont="1" applyFill="1" applyBorder="1" applyAlignment="1">
      <alignment horizontal="center" vertical="center"/>
    </xf>
    <xf numFmtId="0" fontId="17" fillId="60" borderId="20" xfId="0" applyFont="1" applyFill="1" applyBorder="1" applyAlignment="1">
      <alignment horizontal="center" vertical="center"/>
    </xf>
    <xf numFmtId="0" fontId="17" fillId="60" borderId="21" xfId="0" applyFont="1" applyFill="1" applyBorder="1" applyAlignment="1">
      <alignment horizontal="center" vertical="center"/>
    </xf>
    <xf numFmtId="0" fontId="17" fillId="60" borderId="29" xfId="0" applyFont="1" applyFill="1" applyBorder="1" applyAlignment="1">
      <alignment horizontal="center" vertical="center"/>
    </xf>
    <xf numFmtId="0" fontId="17" fillId="60" borderId="30" xfId="0" applyFont="1" applyFill="1" applyBorder="1" applyAlignment="1">
      <alignment horizontal="center" vertical="center"/>
    </xf>
    <xf numFmtId="0" fontId="17" fillId="60" borderId="31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69" borderId="19" xfId="0" applyFill="1" applyBorder="1" applyAlignment="1">
      <alignment horizontal="center" vertical="center"/>
    </xf>
    <xf numFmtId="0" fontId="0" fillId="69" borderId="20" xfId="0" applyFill="1" applyBorder="1" applyAlignment="1">
      <alignment horizontal="center" vertical="center"/>
    </xf>
    <xf numFmtId="0" fontId="0" fillId="69" borderId="21" xfId="0" applyFill="1" applyBorder="1" applyAlignment="1">
      <alignment horizontal="center" vertical="center"/>
    </xf>
    <xf numFmtId="0" fontId="0" fillId="69" borderId="29" xfId="0" applyFill="1" applyBorder="1" applyAlignment="1">
      <alignment horizontal="center" vertical="center"/>
    </xf>
    <xf numFmtId="0" fontId="0" fillId="69" borderId="30" xfId="0" applyFill="1" applyBorder="1" applyAlignment="1">
      <alignment horizontal="center" vertical="center"/>
    </xf>
    <xf numFmtId="0" fontId="0" fillId="69" borderId="31" xfId="0" applyFill="1" applyBorder="1" applyAlignment="1">
      <alignment horizontal="center" vertical="center"/>
    </xf>
    <xf numFmtId="164" fontId="0" fillId="17" borderId="19" xfId="0" applyNumberFormat="1" applyFill="1" applyBorder="1" applyAlignment="1">
      <alignment horizontal="center" vertical="center"/>
    </xf>
    <xf numFmtId="164" fontId="0" fillId="17" borderId="20" xfId="0" applyNumberFormat="1" applyFill="1" applyBorder="1" applyAlignment="1">
      <alignment horizontal="center" vertical="center"/>
    </xf>
    <xf numFmtId="164" fontId="0" fillId="17" borderId="21" xfId="0" applyNumberFormat="1" applyFill="1" applyBorder="1" applyAlignment="1">
      <alignment horizontal="center" vertical="center"/>
    </xf>
    <xf numFmtId="164" fontId="0" fillId="17" borderId="29" xfId="0" applyNumberFormat="1" applyFill="1" applyBorder="1" applyAlignment="1">
      <alignment horizontal="center" vertical="center"/>
    </xf>
    <xf numFmtId="164" fontId="0" fillId="17" borderId="30" xfId="0" applyNumberFormat="1" applyFill="1" applyBorder="1" applyAlignment="1">
      <alignment horizontal="center" vertical="center"/>
    </xf>
    <xf numFmtId="164" fontId="0" fillId="17" borderId="31" xfId="0" applyNumberFormat="1" applyFill="1" applyBorder="1" applyAlignment="1">
      <alignment horizontal="center" vertical="center"/>
    </xf>
    <xf numFmtId="0" fontId="0" fillId="46" borderId="19" xfId="0" applyFill="1" applyBorder="1" applyAlignment="1">
      <alignment horizontal="center" vertical="center" wrapText="1"/>
    </xf>
    <xf numFmtId="0" fontId="0" fillId="46" borderId="20" xfId="0" applyFill="1" applyBorder="1" applyAlignment="1">
      <alignment horizontal="center" vertical="center" wrapText="1"/>
    </xf>
    <xf numFmtId="0" fontId="0" fillId="46" borderId="21" xfId="0" applyFill="1" applyBorder="1" applyAlignment="1">
      <alignment horizontal="center" vertical="center" wrapText="1"/>
    </xf>
    <xf numFmtId="0" fontId="0" fillId="46" borderId="29" xfId="0" applyFill="1" applyBorder="1" applyAlignment="1">
      <alignment horizontal="center" vertical="center" wrapText="1"/>
    </xf>
    <xf numFmtId="0" fontId="0" fillId="46" borderId="30" xfId="0" applyFill="1" applyBorder="1" applyAlignment="1">
      <alignment horizontal="center" vertical="center" wrapText="1"/>
    </xf>
    <xf numFmtId="0" fontId="0" fillId="46" borderId="31" xfId="0" applyFill="1" applyBorder="1" applyAlignment="1">
      <alignment horizontal="center" vertical="center" wrapText="1"/>
    </xf>
    <xf numFmtId="0" fontId="0" fillId="64" borderId="19" xfId="0" applyFill="1" applyBorder="1" applyAlignment="1">
      <alignment horizontal="center" vertical="center"/>
    </xf>
    <xf numFmtId="0" fontId="0" fillId="64" borderId="20" xfId="0" applyFill="1" applyBorder="1" applyAlignment="1">
      <alignment horizontal="center" vertical="center"/>
    </xf>
    <xf numFmtId="0" fontId="0" fillId="64" borderId="21" xfId="0" applyFill="1" applyBorder="1" applyAlignment="1">
      <alignment horizontal="center" vertical="center"/>
    </xf>
    <xf numFmtId="0" fontId="0" fillId="64" borderId="22" xfId="0" applyFill="1" applyBorder="1" applyAlignment="1">
      <alignment horizontal="center" vertical="center"/>
    </xf>
    <xf numFmtId="0" fontId="0" fillId="64" borderId="0" xfId="0" applyFill="1" applyBorder="1" applyAlignment="1">
      <alignment horizontal="center" vertical="center"/>
    </xf>
    <xf numFmtId="0" fontId="0" fillId="64" borderId="23" xfId="0" applyFill="1" applyBorder="1" applyAlignment="1">
      <alignment horizontal="center" vertical="center"/>
    </xf>
    <xf numFmtId="0" fontId="0" fillId="21" borderId="35" xfId="0" applyNumberFormat="1" applyFill="1" applyBorder="1" applyAlignment="1">
      <alignment horizontal="center" vertical="center"/>
    </xf>
    <xf numFmtId="0" fontId="0" fillId="21" borderId="37" xfId="0" applyNumberFormat="1" applyFill="1" applyBorder="1" applyAlignment="1">
      <alignment horizontal="center" vertical="center"/>
    </xf>
    <xf numFmtId="0" fontId="0" fillId="20" borderId="35" xfId="0" applyFill="1" applyBorder="1" applyAlignment="1">
      <alignment horizontal="center" vertical="center" wrapText="1"/>
    </xf>
    <xf numFmtId="0" fontId="0" fillId="20" borderId="37" xfId="0" applyFill="1" applyBorder="1" applyAlignment="1">
      <alignment horizontal="center" vertical="center" wrapText="1"/>
    </xf>
    <xf numFmtId="0" fontId="0" fillId="21" borderId="35" xfId="0" applyFill="1" applyBorder="1" applyAlignment="1">
      <alignment horizontal="center" vertical="center"/>
    </xf>
    <xf numFmtId="0" fontId="0" fillId="21" borderId="37" xfId="0" applyFill="1" applyBorder="1" applyAlignment="1">
      <alignment horizontal="center" vertical="center"/>
    </xf>
    <xf numFmtId="0" fontId="0" fillId="66" borderId="19" xfId="0" applyFill="1" applyBorder="1" applyAlignment="1">
      <alignment horizontal="center" vertical="center"/>
    </xf>
    <xf numFmtId="0" fontId="0" fillId="66" borderId="20" xfId="0" applyFill="1" applyBorder="1" applyAlignment="1">
      <alignment horizontal="center" vertical="center"/>
    </xf>
    <xf numFmtId="0" fontId="0" fillId="66" borderId="21" xfId="0" applyFill="1" applyBorder="1" applyAlignment="1">
      <alignment horizontal="center" vertical="center"/>
    </xf>
    <xf numFmtId="0" fontId="0" fillId="66" borderId="29" xfId="0" applyFill="1" applyBorder="1" applyAlignment="1">
      <alignment horizontal="center" vertical="center"/>
    </xf>
    <xf numFmtId="0" fontId="0" fillId="66" borderId="30" xfId="0" applyFill="1" applyBorder="1" applyAlignment="1">
      <alignment horizontal="center" vertical="center"/>
    </xf>
    <xf numFmtId="0" fontId="0" fillId="66" borderId="31" xfId="0" applyFill="1" applyBorder="1" applyAlignment="1">
      <alignment horizontal="center" vertical="center"/>
    </xf>
    <xf numFmtId="0" fontId="0" fillId="70" borderId="19" xfId="0" applyFill="1" applyBorder="1" applyAlignment="1">
      <alignment horizontal="center" vertical="center"/>
    </xf>
    <xf numFmtId="0" fontId="0" fillId="70" borderId="20" xfId="0" applyFill="1" applyBorder="1" applyAlignment="1">
      <alignment horizontal="center" vertical="center"/>
    </xf>
    <xf numFmtId="0" fontId="0" fillId="70" borderId="21" xfId="0" applyFill="1" applyBorder="1" applyAlignment="1">
      <alignment horizontal="center" vertical="center"/>
    </xf>
    <xf numFmtId="0" fontId="0" fillId="70" borderId="22" xfId="0" applyFill="1" applyBorder="1" applyAlignment="1">
      <alignment horizontal="center" vertical="center"/>
    </xf>
    <xf numFmtId="0" fontId="0" fillId="70" borderId="0" xfId="0" applyFill="1" applyBorder="1" applyAlignment="1">
      <alignment horizontal="center" vertical="center"/>
    </xf>
    <xf numFmtId="0" fontId="0" fillId="70" borderId="23" xfId="0" applyFill="1" applyBorder="1" applyAlignment="1">
      <alignment horizontal="center" vertical="center"/>
    </xf>
    <xf numFmtId="0" fontId="0" fillId="21" borderId="22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1" borderId="29" xfId="0" applyFill="1" applyBorder="1" applyAlignment="1">
      <alignment horizontal="center" vertical="center"/>
    </xf>
    <xf numFmtId="0" fontId="0" fillId="21" borderId="30" xfId="0" applyFill="1" applyBorder="1" applyAlignment="1">
      <alignment horizontal="center" vertical="center"/>
    </xf>
    <xf numFmtId="7" fontId="0" fillId="21" borderId="19" xfId="0" applyNumberFormat="1" applyFill="1" applyBorder="1" applyAlignment="1">
      <alignment horizontal="center" vertical="center"/>
    </xf>
    <xf numFmtId="7" fontId="0" fillId="21" borderId="20" xfId="0" applyNumberFormat="1" applyFill="1" applyBorder="1" applyAlignment="1">
      <alignment horizontal="center" vertical="center"/>
    </xf>
    <xf numFmtId="7" fontId="0" fillId="21" borderId="21" xfId="0" applyNumberFormat="1" applyFill="1" applyBorder="1" applyAlignment="1">
      <alignment horizontal="center" vertical="center"/>
    </xf>
    <xf numFmtId="7" fontId="0" fillId="21" borderId="29" xfId="0" applyNumberFormat="1" applyFill="1" applyBorder="1" applyAlignment="1">
      <alignment horizontal="center" vertical="center"/>
    </xf>
    <xf numFmtId="7" fontId="0" fillId="21" borderId="30" xfId="0" applyNumberFormat="1" applyFill="1" applyBorder="1" applyAlignment="1">
      <alignment horizontal="center" vertical="center"/>
    </xf>
    <xf numFmtId="7" fontId="0" fillId="21" borderId="31" xfId="0" applyNumberFormat="1" applyFill="1" applyBorder="1" applyAlignment="1">
      <alignment horizontal="center" vertical="center"/>
    </xf>
    <xf numFmtId="0" fontId="0" fillId="21" borderId="19" xfId="0" applyFill="1" applyBorder="1" applyAlignment="1">
      <alignment horizontal="center" vertical="center"/>
    </xf>
    <xf numFmtId="0" fontId="0" fillId="21" borderId="20" xfId="0" applyFill="1" applyBorder="1" applyAlignment="1">
      <alignment horizontal="center" vertical="center"/>
    </xf>
    <xf numFmtId="0" fontId="0" fillId="21" borderId="21" xfId="0" applyFill="1" applyBorder="1" applyAlignment="1">
      <alignment horizontal="center" vertical="center"/>
    </xf>
    <xf numFmtId="0" fontId="0" fillId="21" borderId="31" xfId="0" applyFill="1" applyBorder="1" applyAlignment="1">
      <alignment horizontal="center" vertical="center"/>
    </xf>
    <xf numFmtId="164" fontId="0" fillId="21" borderId="35" xfId="0" applyNumberFormat="1" applyFill="1" applyBorder="1" applyAlignment="1">
      <alignment horizontal="center" vertical="center"/>
    </xf>
    <xf numFmtId="164" fontId="0" fillId="21" borderId="37" xfId="0" applyNumberFormat="1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0" fillId="5" borderId="30" xfId="0" applyFill="1" applyBorder="1" applyAlignment="1">
      <alignment horizontal="center" vertical="center"/>
    </xf>
    <xf numFmtId="0" fontId="0" fillId="5" borderId="31" xfId="0" applyFill="1" applyBorder="1" applyAlignment="1">
      <alignment horizontal="center" vertical="center"/>
    </xf>
    <xf numFmtId="0" fontId="0" fillId="21" borderId="19" xfId="0" applyFill="1" applyBorder="1" applyAlignment="1" applyProtection="1">
      <alignment horizontal="center" vertical="center"/>
    </xf>
    <xf numFmtId="0" fontId="0" fillId="21" borderId="21" xfId="0" applyFill="1" applyBorder="1" applyAlignment="1" applyProtection="1">
      <alignment horizontal="center" vertical="center"/>
    </xf>
    <xf numFmtId="0" fontId="0" fillId="21" borderId="29" xfId="0" applyFill="1" applyBorder="1" applyAlignment="1" applyProtection="1">
      <alignment horizontal="center" vertical="center"/>
    </xf>
    <xf numFmtId="0" fontId="0" fillId="21" borderId="31" xfId="0" applyFill="1" applyBorder="1" applyAlignment="1" applyProtection="1">
      <alignment horizontal="center" vertical="center"/>
    </xf>
    <xf numFmtId="0" fontId="0" fillId="17" borderId="35" xfId="0" applyFill="1" applyBorder="1" applyAlignment="1">
      <alignment horizontal="center" vertical="center"/>
    </xf>
    <xf numFmtId="0" fontId="0" fillId="17" borderId="37" xfId="0" applyFill="1" applyBorder="1" applyAlignment="1">
      <alignment horizontal="center" vertical="center"/>
    </xf>
    <xf numFmtId="0" fontId="0" fillId="21" borderId="19" xfId="0" applyFill="1" applyBorder="1" applyAlignment="1" applyProtection="1">
      <alignment horizontal="center" vertical="center"/>
      <protection locked="0"/>
    </xf>
    <xf numFmtId="0" fontId="0" fillId="21" borderId="21" xfId="0" applyFill="1" applyBorder="1" applyAlignment="1" applyProtection="1">
      <alignment horizontal="center" vertical="center"/>
      <protection locked="0"/>
    </xf>
    <xf numFmtId="0" fontId="0" fillId="21" borderId="29" xfId="0" applyFill="1" applyBorder="1" applyAlignment="1" applyProtection="1">
      <alignment horizontal="center" vertical="center"/>
      <protection locked="0"/>
    </xf>
    <xf numFmtId="0" fontId="0" fillId="21" borderId="31" xfId="0" applyFill="1" applyBorder="1" applyAlignment="1" applyProtection="1">
      <alignment horizontal="center" vertical="center"/>
      <protection locked="0"/>
    </xf>
    <xf numFmtId="0" fontId="0" fillId="16" borderId="35" xfId="0" applyFill="1" applyBorder="1" applyAlignment="1">
      <alignment horizontal="center" vertical="center"/>
    </xf>
    <xf numFmtId="0" fontId="0" fillId="16" borderId="37" xfId="0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0" fillId="3" borderId="37" xfId="0" applyFill="1" applyBorder="1" applyAlignment="1">
      <alignment horizontal="center" vertical="center"/>
    </xf>
    <xf numFmtId="0" fontId="0" fillId="22" borderId="35" xfId="0" applyFill="1" applyBorder="1" applyAlignment="1">
      <alignment horizontal="center" vertical="center"/>
    </xf>
    <xf numFmtId="0" fontId="0" fillId="22" borderId="37" xfId="0" applyFill="1" applyBorder="1" applyAlignment="1">
      <alignment horizontal="center" vertical="center"/>
    </xf>
    <xf numFmtId="0" fontId="0" fillId="19" borderId="35" xfId="0" applyFill="1" applyBorder="1" applyAlignment="1">
      <alignment horizontal="center" vertical="center"/>
    </xf>
    <xf numFmtId="0" fontId="0" fillId="19" borderId="37" xfId="0" applyFill="1" applyBorder="1" applyAlignment="1">
      <alignment horizontal="center" vertical="center"/>
    </xf>
    <xf numFmtId="0" fontId="0" fillId="60" borderId="19" xfId="0" applyFill="1" applyBorder="1" applyAlignment="1">
      <alignment horizontal="center" vertical="center"/>
    </xf>
    <xf numFmtId="0" fontId="0" fillId="60" borderId="20" xfId="0" applyFill="1" applyBorder="1" applyAlignment="1">
      <alignment horizontal="center" vertical="center"/>
    </xf>
    <xf numFmtId="0" fontId="0" fillId="60" borderId="21" xfId="0" applyFill="1" applyBorder="1" applyAlignment="1">
      <alignment horizontal="center" vertical="center"/>
    </xf>
    <xf numFmtId="0" fontId="0" fillId="60" borderId="29" xfId="0" applyFill="1" applyBorder="1" applyAlignment="1">
      <alignment horizontal="center" vertical="center"/>
    </xf>
    <xf numFmtId="0" fontId="0" fillId="60" borderId="30" xfId="0" applyFill="1" applyBorder="1" applyAlignment="1">
      <alignment horizontal="center" vertical="center"/>
    </xf>
    <xf numFmtId="0" fontId="0" fillId="60" borderId="31" xfId="0" applyFill="1" applyBorder="1" applyAlignment="1">
      <alignment horizontal="center" vertical="center"/>
    </xf>
    <xf numFmtId="0" fontId="0" fillId="20" borderId="35" xfId="0" applyFill="1" applyBorder="1" applyAlignment="1">
      <alignment horizontal="center" vertical="center"/>
    </xf>
    <xf numFmtId="0" fontId="0" fillId="20" borderId="37" xfId="0" applyFill="1" applyBorder="1" applyAlignment="1">
      <alignment horizontal="center" vertical="center"/>
    </xf>
    <xf numFmtId="0" fontId="0" fillId="55" borderId="19" xfId="0" applyFill="1" applyBorder="1" applyAlignment="1">
      <alignment horizontal="center" vertical="center"/>
    </xf>
    <xf numFmtId="0" fontId="0" fillId="55" borderId="21" xfId="0" applyFill="1" applyBorder="1" applyAlignment="1">
      <alignment horizontal="center" vertical="center"/>
    </xf>
    <xf numFmtId="0" fontId="0" fillId="55" borderId="29" xfId="0" applyFill="1" applyBorder="1" applyAlignment="1">
      <alignment horizontal="center" vertical="center"/>
    </xf>
    <xf numFmtId="0" fontId="0" fillId="55" borderId="31" xfId="0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 wrapText="1"/>
    </xf>
    <xf numFmtId="0" fontId="0" fillId="4" borderId="21" xfId="0" applyFill="1" applyBorder="1" applyAlignment="1">
      <alignment horizontal="center" vertical="center" wrapText="1"/>
    </xf>
    <xf numFmtId="0" fontId="0" fillId="4" borderId="29" xfId="0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0" fillId="68" borderId="19" xfId="0" applyFill="1" applyBorder="1" applyAlignment="1">
      <alignment horizontal="center" vertical="center"/>
    </xf>
    <xf numFmtId="0" fontId="0" fillId="68" borderId="21" xfId="0" applyFill="1" applyBorder="1" applyAlignment="1">
      <alignment horizontal="center" vertical="center"/>
    </xf>
    <xf numFmtId="0" fontId="0" fillId="68" borderId="29" xfId="0" applyFill="1" applyBorder="1" applyAlignment="1">
      <alignment horizontal="center" vertical="center"/>
    </xf>
    <xf numFmtId="0" fontId="0" fillId="68" borderId="31" xfId="0" applyFill="1" applyBorder="1" applyAlignment="1">
      <alignment horizontal="center" vertical="center"/>
    </xf>
    <xf numFmtId="0" fontId="11" fillId="31" borderId="19" xfId="0" applyFont="1" applyFill="1" applyBorder="1" applyAlignment="1">
      <alignment horizontal="center" vertical="center" wrapText="1"/>
    </xf>
    <xf numFmtId="0" fontId="11" fillId="31" borderId="20" xfId="0" applyFont="1" applyFill="1" applyBorder="1" applyAlignment="1">
      <alignment horizontal="center" vertical="center" wrapText="1"/>
    </xf>
    <xf numFmtId="0" fontId="11" fillId="31" borderId="21" xfId="0" applyFont="1" applyFill="1" applyBorder="1" applyAlignment="1">
      <alignment horizontal="center" vertical="center" wrapText="1"/>
    </xf>
    <xf numFmtId="0" fontId="11" fillId="31" borderId="22" xfId="0" applyFont="1" applyFill="1" applyBorder="1" applyAlignment="1">
      <alignment horizontal="center" vertical="center" wrapText="1"/>
    </xf>
    <xf numFmtId="0" fontId="11" fillId="31" borderId="0" xfId="0" applyFont="1" applyFill="1" applyBorder="1" applyAlignment="1">
      <alignment horizontal="center" vertical="center" wrapText="1"/>
    </xf>
    <xf numFmtId="0" fontId="11" fillId="31" borderId="23" xfId="0" applyFont="1" applyFill="1" applyBorder="1" applyAlignment="1">
      <alignment horizontal="center" vertical="center" wrapText="1"/>
    </xf>
    <xf numFmtId="0" fontId="0" fillId="0" borderId="0" xfId="0"/>
    <xf numFmtId="0" fontId="0" fillId="2" borderId="16" xfId="0" applyFill="1" applyBorder="1" applyAlignment="1">
      <alignment horizontal="center" vertical="center" wrapText="1"/>
    </xf>
    <xf numFmtId="0" fontId="0" fillId="2" borderId="15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2" borderId="13" xfId="0" applyFill="1" applyBorder="1" applyAlignment="1">
      <alignment horizontal="center" vertical="center" wrapText="1"/>
    </xf>
    <xf numFmtId="0" fontId="0" fillId="22" borderId="15" xfId="0" applyFill="1" applyBorder="1" applyAlignment="1">
      <alignment horizontal="center" vertical="center" wrapText="1"/>
    </xf>
    <xf numFmtId="0" fontId="0" fillId="22" borderId="16" xfId="0" applyFill="1" applyBorder="1" applyAlignment="1">
      <alignment horizontal="center" vertical="center" wrapText="1"/>
    </xf>
    <xf numFmtId="0" fontId="11" fillId="31" borderId="19" xfId="0" applyFont="1" applyFill="1" applyBorder="1" applyAlignment="1">
      <alignment horizontal="center" vertical="center"/>
    </xf>
    <xf numFmtId="0" fontId="11" fillId="31" borderId="20" xfId="0" applyFont="1" applyFill="1" applyBorder="1" applyAlignment="1">
      <alignment horizontal="center" vertical="center"/>
    </xf>
    <xf numFmtId="0" fontId="11" fillId="31" borderId="21" xfId="0" applyFont="1" applyFill="1" applyBorder="1" applyAlignment="1">
      <alignment horizontal="center" vertical="center"/>
    </xf>
    <xf numFmtId="0" fontId="11" fillId="31" borderId="29" xfId="0" applyFont="1" applyFill="1" applyBorder="1" applyAlignment="1">
      <alignment horizontal="center" vertical="center"/>
    </xf>
    <xf numFmtId="0" fontId="11" fillId="31" borderId="30" xfId="0" applyFont="1" applyFill="1" applyBorder="1" applyAlignment="1">
      <alignment horizontal="center" vertical="center"/>
    </xf>
    <xf numFmtId="0" fontId="11" fillId="31" borderId="31" xfId="0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22" borderId="43" xfId="0" applyFill="1" applyBorder="1" applyAlignment="1">
      <alignment horizontal="center"/>
    </xf>
    <xf numFmtId="0" fontId="0" fillId="22" borderId="1" xfId="0" applyFill="1" applyBorder="1" applyAlignment="1">
      <alignment horizontal="center"/>
    </xf>
    <xf numFmtId="0" fontId="0" fillId="22" borderId="44" xfId="0" applyFill="1" applyBorder="1" applyAlignment="1">
      <alignment horizontal="center"/>
    </xf>
    <xf numFmtId="0" fontId="0" fillId="22" borderId="45" xfId="0" applyFill="1" applyBorder="1" applyAlignment="1">
      <alignment horizontal="center"/>
    </xf>
    <xf numFmtId="0" fontId="0" fillId="22" borderId="46" xfId="0" applyFill="1" applyBorder="1" applyAlignment="1">
      <alignment horizontal="center"/>
    </xf>
    <xf numFmtId="0" fontId="0" fillId="22" borderId="47" xfId="0" applyFill="1" applyBorder="1" applyAlignment="1">
      <alignment horizontal="center"/>
    </xf>
    <xf numFmtId="0" fontId="0" fillId="22" borderId="43" xfId="0" applyFill="1" applyBorder="1" applyAlignment="1">
      <alignment horizontal="center" vertical="center" wrapText="1"/>
    </xf>
    <xf numFmtId="0" fontId="0" fillId="22" borderId="1" xfId="0" applyFill="1" applyBorder="1" applyAlignment="1">
      <alignment horizontal="center" vertical="center" wrapText="1"/>
    </xf>
    <xf numFmtId="0" fontId="0" fillId="22" borderId="44" xfId="0" applyFill="1" applyBorder="1" applyAlignment="1">
      <alignment horizontal="center" vertical="center" wrapText="1"/>
    </xf>
    <xf numFmtId="0" fontId="0" fillId="21" borderId="16" xfId="0" applyFill="1" applyBorder="1" applyAlignment="1">
      <alignment horizontal="center" vertical="center" wrapText="1"/>
    </xf>
    <xf numFmtId="0" fontId="0" fillId="21" borderId="15" xfId="0" applyFill="1" applyBorder="1" applyAlignment="1">
      <alignment horizontal="center" vertical="center" wrapText="1"/>
    </xf>
    <xf numFmtId="0" fontId="0" fillId="21" borderId="13" xfId="0" applyFill="1" applyBorder="1" applyAlignment="1">
      <alignment horizontal="center" vertical="center" wrapText="1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44" fontId="0" fillId="16" borderId="11" xfId="0" applyNumberFormat="1" applyFill="1" applyBorder="1" applyAlignment="1">
      <alignment horizontal="center"/>
    </xf>
    <xf numFmtId="44" fontId="0" fillId="16" borderId="12" xfId="0" applyNumberFormat="1" applyFill="1" applyBorder="1" applyAlignment="1">
      <alignment horizontal="center"/>
    </xf>
    <xf numFmtId="0" fontId="0" fillId="63" borderId="6" xfId="0" applyFill="1" applyBorder="1" applyAlignment="1">
      <alignment horizontal="center"/>
    </xf>
    <xf numFmtId="0" fontId="0" fillId="63" borderId="5" xfId="0" applyFill="1" applyBorder="1" applyAlignment="1">
      <alignment horizontal="center"/>
    </xf>
    <xf numFmtId="44" fontId="0" fillId="0" borderId="5" xfId="0" applyNumberFormat="1" applyBorder="1" applyAlignment="1">
      <alignment horizontal="center"/>
    </xf>
    <xf numFmtId="44" fontId="0" fillId="0" borderId="7" xfId="0" applyNumberFormat="1" applyBorder="1" applyAlignment="1">
      <alignment horizontal="center"/>
    </xf>
    <xf numFmtId="0" fontId="2" fillId="23" borderId="6" xfId="0" applyFont="1" applyFill="1" applyBorder="1" applyAlignment="1">
      <alignment horizontal="center" vertical="center"/>
    </xf>
    <xf numFmtId="0" fontId="2" fillId="23" borderId="5" xfId="0" applyFont="1" applyFill="1" applyBorder="1" applyAlignment="1">
      <alignment horizontal="center" vertical="center"/>
    </xf>
    <xf numFmtId="0" fontId="2" fillId="23" borderId="7" xfId="0" applyFont="1" applyFill="1" applyBorder="1" applyAlignment="1">
      <alignment horizontal="center" vertical="center"/>
    </xf>
    <xf numFmtId="0" fontId="2" fillId="23" borderId="10" xfId="0" applyFont="1" applyFill="1" applyBorder="1" applyAlignment="1">
      <alignment horizontal="center" vertical="center"/>
    </xf>
    <xf numFmtId="0" fontId="2" fillId="23" borderId="11" xfId="0" applyFont="1" applyFill="1" applyBorder="1" applyAlignment="1">
      <alignment horizontal="center" vertical="center"/>
    </xf>
    <xf numFmtId="0" fontId="2" fillId="23" borderId="12" xfId="0" applyFont="1" applyFill="1" applyBorder="1" applyAlignment="1">
      <alignment horizontal="center" vertical="center"/>
    </xf>
    <xf numFmtId="44" fontId="0" fillId="0" borderId="0" xfId="0" applyNumberFormat="1" applyBorder="1" applyAlignment="1" applyProtection="1">
      <alignment horizontal="center"/>
      <protection locked="0"/>
    </xf>
    <xf numFmtId="44" fontId="0" fillId="0" borderId="9" xfId="0" applyNumberFormat="1" applyBorder="1" applyAlignment="1" applyProtection="1">
      <alignment horizontal="center"/>
      <protection locked="0"/>
    </xf>
    <xf numFmtId="44" fontId="0" fillId="0" borderId="11" xfId="0" applyNumberFormat="1" applyBorder="1" applyAlignment="1" applyProtection="1">
      <alignment horizontal="center"/>
      <protection locked="0"/>
    </xf>
    <xf numFmtId="44" fontId="0" fillId="0" borderId="12" xfId="0" applyNumberFormat="1" applyBorder="1" applyAlignment="1" applyProtection="1">
      <alignment horizontal="center"/>
      <protection locked="0"/>
    </xf>
    <xf numFmtId="0" fontId="0" fillId="18" borderId="14" xfId="0" applyFill="1" applyBorder="1" applyAlignment="1" applyProtection="1">
      <alignment horizontal="center"/>
    </xf>
    <xf numFmtId="0" fontId="0" fillId="18" borderId="17" xfId="0" applyFill="1" applyBorder="1" applyAlignment="1" applyProtection="1">
      <alignment horizontal="center"/>
    </xf>
    <xf numFmtId="0" fontId="2" fillId="24" borderId="6" xfId="0" applyFont="1" applyFill="1" applyBorder="1" applyAlignment="1">
      <alignment horizontal="center" vertical="center"/>
    </xf>
    <xf numFmtId="0" fontId="2" fillId="24" borderId="5" xfId="0" applyFont="1" applyFill="1" applyBorder="1" applyAlignment="1">
      <alignment horizontal="center" vertical="center"/>
    </xf>
    <xf numFmtId="0" fontId="2" fillId="24" borderId="7" xfId="0" applyFont="1" applyFill="1" applyBorder="1" applyAlignment="1">
      <alignment horizontal="center" vertical="center"/>
    </xf>
    <xf numFmtId="0" fontId="2" fillId="24" borderId="8" xfId="0" applyFont="1" applyFill="1" applyBorder="1" applyAlignment="1">
      <alignment horizontal="center" vertical="center"/>
    </xf>
    <xf numFmtId="0" fontId="2" fillId="24" borderId="0" xfId="0" applyFont="1" applyFill="1" applyBorder="1" applyAlignment="1">
      <alignment horizontal="center" vertical="center"/>
    </xf>
    <xf numFmtId="0" fontId="2" fillId="24" borderId="9" xfId="0" applyFont="1" applyFill="1" applyBorder="1" applyAlignment="1">
      <alignment horizontal="center" vertical="center"/>
    </xf>
    <xf numFmtId="0" fontId="2" fillId="24" borderId="10" xfId="0" applyFont="1" applyFill="1" applyBorder="1" applyAlignment="1">
      <alignment horizontal="center" vertical="center"/>
    </xf>
    <xf numFmtId="0" fontId="2" fillId="24" borderId="11" xfId="0" applyFont="1" applyFill="1" applyBorder="1" applyAlignment="1">
      <alignment horizontal="center" vertical="center"/>
    </xf>
    <xf numFmtId="0" fontId="2" fillId="24" borderId="12" xfId="0" applyFont="1" applyFill="1" applyBorder="1" applyAlignment="1">
      <alignment horizontal="center" vertical="center"/>
    </xf>
    <xf numFmtId="0" fontId="0" fillId="5" borderId="8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5" borderId="1" xfId="0" applyFill="1" applyBorder="1" applyAlignment="1">
      <alignment horizontal="center" wrapText="1"/>
    </xf>
    <xf numFmtId="44" fontId="0" fillId="26" borderId="1" xfId="0" applyNumberFormat="1" applyFill="1" applyBorder="1" applyAlignment="1">
      <alignment horizontal="center" vertical="center"/>
    </xf>
    <xf numFmtId="0" fontId="0" fillId="29" borderId="5" xfId="0" applyFill="1" applyBorder="1" applyAlignment="1" applyProtection="1">
      <alignment horizontal="center"/>
    </xf>
    <xf numFmtId="0" fontId="0" fillId="29" borderId="7" xfId="0" applyFill="1" applyBorder="1" applyAlignment="1" applyProtection="1">
      <alignment horizontal="center"/>
    </xf>
    <xf numFmtId="7" fontId="0" fillId="18" borderId="17" xfId="0" applyNumberFormat="1" applyFill="1" applyBorder="1" applyAlignment="1" applyProtection="1">
      <alignment horizontal="center"/>
    </xf>
    <xf numFmtId="7" fontId="0" fillId="18" borderId="18" xfId="0" applyNumberFormat="1" applyFill="1" applyBorder="1" applyAlignment="1" applyProtection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44" fontId="0" fillId="0" borderId="3" xfId="0" applyNumberFormat="1" applyBorder="1" applyAlignment="1" applyProtection="1">
      <alignment horizontal="center"/>
      <protection locked="0"/>
    </xf>
    <xf numFmtId="44" fontId="0" fillId="0" borderId="4" xfId="0" applyNumberFormat="1" applyBorder="1" applyAlignment="1" applyProtection="1">
      <alignment horizontal="center"/>
      <protection locked="0"/>
    </xf>
    <xf numFmtId="0" fontId="0" fillId="29" borderId="6" xfId="0" applyFill="1" applyBorder="1" applyAlignment="1" applyProtection="1">
      <alignment horizontal="center"/>
    </xf>
    <xf numFmtId="0" fontId="0" fillId="25" borderId="1" xfId="0" applyFill="1" applyBorder="1" applyAlignment="1">
      <alignment horizontal="center" vertical="center"/>
    </xf>
    <xf numFmtId="44" fontId="0" fillId="17" borderId="3" xfId="0" applyNumberFormat="1" applyFill="1" applyBorder="1" applyAlignment="1" applyProtection="1">
      <alignment horizontal="center"/>
    </xf>
    <xf numFmtId="44" fontId="0" fillId="17" borderId="4" xfId="0" applyNumberFormat="1" applyFill="1" applyBorder="1" applyAlignment="1" applyProtection="1">
      <alignment horizontal="center"/>
    </xf>
    <xf numFmtId="0" fontId="0" fillId="17" borderId="10" xfId="0" applyFill="1" applyBorder="1" applyAlignment="1" applyProtection="1">
      <alignment horizontal="center"/>
    </xf>
    <xf numFmtId="0" fontId="0" fillId="17" borderId="11" xfId="0" applyFill="1" applyBorder="1" applyAlignment="1" applyProtection="1">
      <alignment horizontal="center"/>
    </xf>
    <xf numFmtId="0" fontId="2" fillId="27" borderId="25" xfId="0" applyFont="1" applyFill="1" applyBorder="1" applyAlignment="1">
      <alignment horizontal="center" vertical="center"/>
    </xf>
    <xf numFmtId="0" fontId="2" fillId="27" borderId="5" xfId="0" applyFont="1" applyFill="1" applyBorder="1" applyAlignment="1">
      <alignment horizontal="center" vertical="center"/>
    </xf>
    <xf numFmtId="0" fontId="2" fillId="27" borderId="26" xfId="0" applyFont="1" applyFill="1" applyBorder="1" applyAlignment="1">
      <alignment horizontal="center" vertical="center"/>
    </xf>
    <xf numFmtId="0" fontId="2" fillId="27" borderId="27" xfId="0" applyFont="1" applyFill="1" applyBorder="1" applyAlignment="1">
      <alignment horizontal="center" vertical="center"/>
    </xf>
    <xf numFmtId="0" fontId="2" fillId="27" borderId="11" xfId="0" applyFont="1" applyFill="1" applyBorder="1" applyAlignment="1">
      <alignment horizontal="center" vertical="center"/>
    </xf>
    <xf numFmtId="0" fontId="2" fillId="27" borderId="28" xfId="0" applyFont="1" applyFill="1" applyBorder="1" applyAlignment="1">
      <alignment horizontal="center" vertical="center"/>
    </xf>
    <xf numFmtId="164" fontId="1" fillId="28" borderId="25" xfId="0" applyNumberFormat="1" applyFont="1" applyFill="1" applyBorder="1" applyAlignment="1">
      <alignment horizontal="center" vertical="center"/>
    </xf>
    <xf numFmtId="164" fontId="1" fillId="28" borderId="5" xfId="0" applyNumberFormat="1" applyFont="1" applyFill="1" applyBorder="1" applyAlignment="1">
      <alignment horizontal="center" vertical="center"/>
    </xf>
    <xf numFmtId="164" fontId="1" fillId="28" borderId="26" xfId="0" applyNumberFormat="1" applyFont="1" applyFill="1" applyBorder="1" applyAlignment="1">
      <alignment horizontal="center" vertical="center"/>
    </xf>
    <xf numFmtId="164" fontId="1" fillId="28" borderId="22" xfId="0" applyNumberFormat="1" applyFont="1" applyFill="1" applyBorder="1" applyAlignment="1">
      <alignment horizontal="center" vertical="center"/>
    </xf>
    <xf numFmtId="164" fontId="1" fillId="28" borderId="0" xfId="0" applyNumberFormat="1" applyFont="1" applyFill="1" applyBorder="1" applyAlignment="1">
      <alignment horizontal="center" vertical="center"/>
    </xf>
    <xf numFmtId="164" fontId="1" fillId="28" borderId="23" xfId="0" applyNumberFormat="1" applyFont="1" applyFill="1" applyBorder="1" applyAlignment="1">
      <alignment horizontal="center" vertical="center"/>
    </xf>
    <xf numFmtId="164" fontId="1" fillId="28" borderId="29" xfId="0" applyNumberFormat="1" applyFont="1" applyFill="1" applyBorder="1" applyAlignment="1">
      <alignment horizontal="center" vertical="center"/>
    </xf>
    <xf numFmtId="164" fontId="1" fillId="28" borderId="30" xfId="0" applyNumberFormat="1" applyFont="1" applyFill="1" applyBorder="1" applyAlignment="1">
      <alignment horizontal="center" vertical="center"/>
    </xf>
    <xf numFmtId="164" fontId="1" fillId="28" borderId="31" xfId="0" applyNumberFormat="1" applyFont="1" applyFill="1" applyBorder="1" applyAlignment="1">
      <alignment horizontal="center" vertical="center"/>
    </xf>
    <xf numFmtId="0" fontId="0" fillId="9" borderId="2" xfId="0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18" borderId="58" xfId="0" applyFill="1" applyBorder="1" applyAlignment="1" applyProtection="1">
      <alignment horizontal="center"/>
    </xf>
    <xf numFmtId="0" fontId="0" fillId="18" borderId="59" xfId="0" applyFill="1" applyBorder="1" applyAlignment="1" applyProtection="1">
      <alignment horizontal="center"/>
    </xf>
    <xf numFmtId="0" fontId="0" fillId="30" borderId="6" xfId="0" applyFill="1" applyBorder="1" applyAlignment="1">
      <alignment horizontal="center"/>
    </xf>
    <xf numFmtId="0" fontId="0" fillId="30" borderId="5" xfId="0" applyFill="1" applyBorder="1" applyAlignment="1">
      <alignment horizontal="center"/>
    </xf>
    <xf numFmtId="0" fontId="0" fillId="30" borderId="7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0" fillId="15" borderId="4" xfId="0" applyFill="1" applyBorder="1" applyAlignment="1">
      <alignment horizontal="center"/>
    </xf>
    <xf numFmtId="0" fontId="9" fillId="41" borderId="41" xfId="0" applyFont="1" applyFill="1" applyBorder="1" applyAlignment="1">
      <alignment horizontal="center" vertical="center"/>
    </xf>
    <xf numFmtId="0" fontId="9" fillId="41" borderId="34" xfId="0" applyFont="1" applyFill="1" applyBorder="1" applyAlignment="1">
      <alignment horizontal="center" vertical="center"/>
    </xf>
    <xf numFmtId="0" fontId="9" fillId="41" borderId="42" xfId="0" applyFont="1" applyFill="1" applyBorder="1" applyAlignment="1">
      <alignment horizontal="center" vertical="center"/>
    </xf>
    <xf numFmtId="0" fontId="9" fillId="41" borderId="51" xfId="0" applyFont="1" applyFill="1" applyBorder="1" applyAlignment="1">
      <alignment horizontal="center" vertical="center"/>
    </xf>
    <xf numFmtId="0" fontId="9" fillId="41" borderId="13" xfId="0" applyFont="1" applyFill="1" applyBorder="1" applyAlignment="1">
      <alignment horizontal="center" vertical="center"/>
    </xf>
    <xf numFmtId="0" fontId="9" fillId="41" borderId="52" xfId="0" applyFont="1" applyFill="1" applyBorder="1" applyAlignment="1">
      <alignment horizontal="center" vertical="center"/>
    </xf>
    <xf numFmtId="0" fontId="0" fillId="42" borderId="44" xfId="0" applyFill="1" applyBorder="1" applyAlignment="1">
      <alignment horizontal="center" vertical="center"/>
    </xf>
    <xf numFmtId="164" fontId="1" fillId="38" borderId="1" xfId="0" applyNumberFormat="1" applyFont="1" applyFill="1" applyBorder="1" applyAlignment="1">
      <alignment horizontal="center" vertical="center"/>
    </xf>
    <xf numFmtId="164" fontId="1" fillId="38" borderId="44" xfId="0" applyNumberFormat="1" applyFont="1" applyFill="1" applyBorder="1" applyAlignment="1">
      <alignment horizontal="center" vertical="center"/>
    </xf>
    <xf numFmtId="164" fontId="1" fillId="38" borderId="46" xfId="0" applyNumberFormat="1" applyFont="1" applyFill="1" applyBorder="1" applyAlignment="1">
      <alignment horizontal="center" vertical="center"/>
    </xf>
    <xf numFmtId="164" fontId="1" fillId="38" borderId="47" xfId="0" applyNumberFormat="1" applyFont="1" applyFill="1" applyBorder="1" applyAlignment="1">
      <alignment horizontal="center" vertical="center"/>
    </xf>
    <xf numFmtId="0" fontId="4" fillId="38" borderId="43" xfId="0" applyFont="1" applyFill="1" applyBorder="1" applyAlignment="1">
      <alignment horizontal="center" vertical="center"/>
    </xf>
    <xf numFmtId="0" fontId="4" fillId="38" borderId="1" xfId="0" applyFont="1" applyFill="1" applyBorder="1" applyAlignment="1">
      <alignment horizontal="center" vertical="center"/>
    </xf>
    <xf numFmtId="0" fontId="4" fillId="38" borderId="45" xfId="0" applyFont="1" applyFill="1" applyBorder="1" applyAlignment="1">
      <alignment horizontal="center" vertical="center"/>
    </xf>
    <xf numFmtId="0" fontId="4" fillId="38" borderId="46" xfId="0" applyFont="1" applyFill="1" applyBorder="1" applyAlignment="1">
      <alignment horizontal="center" vertical="center"/>
    </xf>
    <xf numFmtId="0" fontId="0" fillId="0" borderId="22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164" fontId="0" fillId="0" borderId="0" xfId="0" applyNumberFormat="1" applyBorder="1" applyAlignment="1" applyProtection="1">
      <alignment horizontal="center"/>
      <protection locked="0"/>
    </xf>
    <xf numFmtId="0" fontId="0" fillId="34" borderId="43" xfId="0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5" borderId="1" xfId="0" applyFill="1" applyBorder="1" applyAlignment="1">
      <alignment horizontal="center" vertical="center"/>
    </xf>
    <xf numFmtId="0" fontId="0" fillId="36" borderId="1" xfId="0" applyFill="1" applyBorder="1" applyAlignment="1">
      <alignment horizontal="center" vertical="center" wrapText="1"/>
    </xf>
    <xf numFmtId="0" fontId="0" fillId="39" borderId="1" xfId="0" applyFill="1" applyBorder="1" applyAlignment="1">
      <alignment horizontal="center" vertical="center"/>
    </xf>
    <xf numFmtId="0" fontId="0" fillId="0" borderId="0" xfId="0" applyBorder="1" applyAlignment="1" applyProtection="1">
      <alignment horizontal="fill" shrinkToFit="1"/>
      <protection locked="0"/>
    </xf>
    <xf numFmtId="0" fontId="4" fillId="32" borderId="43" xfId="0" applyFont="1" applyFill="1" applyBorder="1" applyAlignment="1">
      <alignment horizontal="center" vertical="center"/>
    </xf>
    <xf numFmtId="0" fontId="4" fillId="32" borderId="1" xfId="0" applyFont="1" applyFill="1" applyBorder="1" applyAlignment="1">
      <alignment horizontal="center" vertical="center"/>
    </xf>
    <xf numFmtId="0" fontId="4" fillId="32" borderId="45" xfId="0" applyFont="1" applyFill="1" applyBorder="1" applyAlignment="1">
      <alignment horizontal="center" vertical="center"/>
    </xf>
    <xf numFmtId="0" fontId="4" fillId="32" borderId="46" xfId="0" applyFont="1" applyFill="1" applyBorder="1" applyAlignment="1">
      <alignment horizontal="center" vertical="center"/>
    </xf>
    <xf numFmtId="0" fontId="0" fillId="37" borderId="1" xfId="0" applyFill="1" applyBorder="1" applyAlignment="1">
      <alignment horizontal="center" vertical="center"/>
    </xf>
    <xf numFmtId="0" fontId="0" fillId="36" borderId="1" xfId="0" applyFill="1" applyBorder="1" applyAlignment="1">
      <alignment horizontal="center" vertical="center"/>
    </xf>
    <xf numFmtId="0" fontId="9" fillId="40" borderId="41" xfId="0" applyFont="1" applyFill="1" applyBorder="1" applyAlignment="1">
      <alignment horizontal="center" vertical="center"/>
    </xf>
    <xf numFmtId="0" fontId="9" fillId="40" borderId="34" xfId="0" applyFont="1" applyFill="1" applyBorder="1" applyAlignment="1">
      <alignment horizontal="center" vertical="center"/>
    </xf>
    <xf numFmtId="0" fontId="9" fillId="40" borderId="42" xfId="0" applyFont="1" applyFill="1" applyBorder="1" applyAlignment="1">
      <alignment horizontal="center" vertical="center"/>
    </xf>
    <xf numFmtId="0" fontId="9" fillId="40" borderId="51" xfId="0" applyFont="1" applyFill="1" applyBorder="1" applyAlignment="1">
      <alignment horizontal="center" vertical="center"/>
    </xf>
    <xf numFmtId="0" fontId="9" fillId="40" borderId="13" xfId="0" applyFont="1" applyFill="1" applyBorder="1" applyAlignment="1">
      <alignment horizontal="center" vertical="center"/>
    </xf>
    <xf numFmtId="0" fontId="9" fillId="40" borderId="52" xfId="0" applyFont="1" applyFill="1" applyBorder="1" applyAlignment="1">
      <alignment horizontal="center" vertical="center"/>
    </xf>
    <xf numFmtId="0" fontId="0" fillId="43" borderId="44" xfId="0" applyFill="1" applyBorder="1" applyAlignment="1">
      <alignment horizontal="center" vertical="center"/>
    </xf>
    <xf numFmtId="164" fontId="1" fillId="33" borderId="1" xfId="0" applyNumberFormat="1" applyFont="1" applyFill="1" applyBorder="1" applyAlignment="1">
      <alignment horizontal="center" vertical="center"/>
    </xf>
    <xf numFmtId="164" fontId="1" fillId="33" borderId="44" xfId="0" applyNumberFormat="1" applyFont="1" applyFill="1" applyBorder="1" applyAlignment="1">
      <alignment horizontal="center" vertical="center"/>
    </xf>
    <xf numFmtId="164" fontId="1" fillId="33" borderId="46" xfId="0" applyNumberFormat="1" applyFont="1" applyFill="1" applyBorder="1" applyAlignment="1">
      <alignment horizontal="center" vertical="center"/>
    </xf>
    <xf numFmtId="164" fontId="1" fillId="33" borderId="47" xfId="0" applyNumberFormat="1" applyFont="1" applyFill="1" applyBorder="1" applyAlignment="1">
      <alignment horizontal="center" vertical="center"/>
    </xf>
    <xf numFmtId="0" fontId="0" fillId="59" borderId="7" xfId="0" applyFill="1" applyBorder="1" applyAlignment="1">
      <alignment horizontal="center" vertical="center"/>
    </xf>
    <xf numFmtId="0" fontId="0" fillId="59" borderId="12" xfId="0" applyFill="1" applyBorder="1" applyAlignment="1">
      <alignment horizontal="center" vertical="center"/>
    </xf>
    <xf numFmtId="0" fontId="0" fillId="59" borderId="5" xfId="0" applyFill="1" applyBorder="1" applyAlignment="1">
      <alignment horizontal="right" vertical="center"/>
    </xf>
    <xf numFmtId="0" fontId="0" fillId="59" borderId="11" xfId="0" applyFill="1" applyBorder="1" applyAlignment="1">
      <alignment horizontal="right" vertical="center"/>
    </xf>
    <xf numFmtId="0" fontId="8" fillId="60" borderId="19" xfId="0" applyFont="1" applyFill="1" applyBorder="1" applyAlignment="1">
      <alignment horizontal="center" vertical="center"/>
    </xf>
    <xf numFmtId="0" fontId="8" fillId="60" borderId="20" xfId="0" applyFont="1" applyFill="1" applyBorder="1" applyAlignment="1">
      <alignment horizontal="center" vertical="center"/>
    </xf>
    <xf numFmtId="0" fontId="8" fillId="60" borderId="22" xfId="0" applyFont="1" applyFill="1" applyBorder="1" applyAlignment="1">
      <alignment horizontal="center" vertical="center"/>
    </xf>
    <xf numFmtId="0" fontId="8" fillId="60" borderId="0" xfId="0" applyFont="1" applyFill="1" applyBorder="1" applyAlignment="1">
      <alignment horizontal="center" vertical="center"/>
    </xf>
    <xf numFmtId="0" fontId="8" fillId="60" borderId="29" xfId="0" applyFont="1" applyFill="1" applyBorder="1" applyAlignment="1">
      <alignment horizontal="center" vertical="center"/>
    </xf>
    <xf numFmtId="0" fontId="8" fillId="60" borderId="30" xfId="0" applyFont="1" applyFill="1" applyBorder="1" applyAlignment="1">
      <alignment horizontal="center" vertical="center"/>
    </xf>
    <xf numFmtId="0" fontId="0" fillId="17" borderId="6" xfId="0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/>
    </xf>
    <xf numFmtId="0" fontId="0" fillId="17" borderId="10" xfId="0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0" fontId="0" fillId="44" borderId="5" xfId="0" applyFill="1" applyBorder="1" applyAlignment="1">
      <alignment horizontal="center" vertical="center"/>
    </xf>
    <xf numFmtId="0" fontId="0" fillId="46" borderId="11" xfId="0" applyFill="1" applyBorder="1" applyAlignment="1">
      <alignment horizontal="center" vertical="center"/>
    </xf>
    <xf numFmtId="0" fontId="0" fillId="62" borderId="11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7" fontId="0" fillId="0" borderId="5" xfId="0" applyNumberFormat="1" applyBorder="1" applyAlignment="1">
      <alignment horizontal="center" vertical="center"/>
    </xf>
    <xf numFmtId="7" fontId="0" fillId="0" borderId="11" xfId="0" applyNumberFormat="1" applyBorder="1" applyAlignment="1">
      <alignment horizontal="center" vertical="center"/>
    </xf>
    <xf numFmtId="0" fontId="15" fillId="60" borderId="19" xfId="0" applyFont="1" applyFill="1" applyBorder="1" applyAlignment="1">
      <alignment horizontal="center" vertical="center"/>
    </xf>
    <xf numFmtId="0" fontId="15" fillId="60" borderId="20" xfId="0" applyFont="1" applyFill="1" applyBorder="1" applyAlignment="1">
      <alignment horizontal="center" vertical="center"/>
    </xf>
    <xf numFmtId="0" fontId="15" fillId="60" borderId="22" xfId="0" applyFont="1" applyFill="1" applyBorder="1" applyAlignment="1">
      <alignment horizontal="center" vertical="center"/>
    </xf>
    <xf numFmtId="0" fontId="15" fillId="60" borderId="0" xfId="0" applyFont="1" applyFill="1" applyBorder="1" applyAlignment="1">
      <alignment horizontal="center" vertical="center"/>
    </xf>
    <xf numFmtId="0" fontId="0" fillId="60" borderId="56" xfId="0" applyFill="1" applyBorder="1" applyAlignment="1">
      <alignment horizontal="center" vertical="center"/>
    </xf>
    <xf numFmtId="0" fontId="0" fillId="60" borderId="57" xfId="0" applyFill="1" applyBorder="1" applyAlignment="1">
      <alignment horizontal="center" vertical="center"/>
    </xf>
    <xf numFmtId="0" fontId="0" fillId="60" borderId="70" xfId="0" applyFill="1" applyBorder="1" applyAlignment="1">
      <alignment horizontal="center" vertical="center"/>
    </xf>
    <xf numFmtId="0" fontId="2" fillId="60" borderId="56" xfId="0" applyFont="1" applyFill="1" applyBorder="1" applyAlignment="1">
      <alignment horizontal="center" vertical="center"/>
    </xf>
    <xf numFmtId="0" fontId="2" fillId="60" borderId="57" xfId="0" applyFont="1" applyFill="1" applyBorder="1" applyAlignment="1">
      <alignment horizontal="center" vertical="center"/>
    </xf>
    <xf numFmtId="0" fontId="2" fillId="60" borderId="70" xfId="0" applyFont="1" applyFill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19" fillId="0" borderId="30" xfId="0" applyFont="1" applyBorder="1" applyAlignment="1">
      <alignment horizontal="center" vertical="center"/>
    </xf>
    <xf numFmtId="0" fontId="19" fillId="0" borderId="31" xfId="0" applyFont="1" applyBorder="1" applyAlignment="1">
      <alignment horizontal="center" vertical="center"/>
    </xf>
    <xf numFmtId="0" fontId="0" fillId="27" borderId="56" xfId="0" applyFill="1" applyBorder="1" applyAlignment="1">
      <alignment horizontal="center" vertical="center"/>
    </xf>
    <xf numFmtId="0" fontId="0" fillId="27" borderId="57" xfId="0" applyFill="1" applyBorder="1" applyAlignment="1">
      <alignment horizontal="center" vertical="center"/>
    </xf>
    <xf numFmtId="0" fontId="0" fillId="27" borderId="69" xfId="0" applyFill="1" applyBorder="1" applyAlignment="1">
      <alignment horizontal="center" vertical="center"/>
    </xf>
    <xf numFmtId="0" fontId="0" fillId="55" borderId="20" xfId="0" applyFill="1" applyBorder="1" applyAlignment="1">
      <alignment horizontal="center" vertical="center"/>
    </xf>
    <xf numFmtId="0" fontId="0" fillId="56" borderId="22" xfId="0" applyFill="1" applyBorder="1" applyAlignment="1">
      <alignment horizontal="center" vertical="center"/>
    </xf>
    <xf numFmtId="0" fontId="0" fillId="56" borderId="0" xfId="0" applyFill="1" applyBorder="1" applyAlignment="1">
      <alignment horizontal="center" vertical="center"/>
    </xf>
    <xf numFmtId="0" fontId="0" fillId="57" borderId="29" xfId="0" applyFill="1" applyBorder="1" applyAlignment="1">
      <alignment horizontal="center" vertical="center"/>
    </xf>
    <xf numFmtId="0" fontId="0" fillId="57" borderId="30" xfId="0" applyFill="1" applyBorder="1" applyAlignment="1">
      <alignment horizontal="center" vertical="center"/>
    </xf>
    <xf numFmtId="0" fontId="9" fillId="48" borderId="19" xfId="0" applyFont="1" applyFill="1" applyBorder="1" applyAlignment="1">
      <alignment horizontal="center" vertical="center"/>
    </xf>
    <xf numFmtId="0" fontId="9" fillId="48" borderId="20" xfId="0" applyFont="1" applyFill="1" applyBorder="1" applyAlignment="1">
      <alignment horizontal="center" vertical="center"/>
    </xf>
    <xf numFmtId="0" fontId="9" fillId="48" borderId="21" xfId="0" applyFont="1" applyFill="1" applyBorder="1" applyAlignment="1">
      <alignment horizontal="center" vertical="center"/>
    </xf>
    <xf numFmtId="0" fontId="9" fillId="48" borderId="22" xfId="0" applyFont="1" applyFill="1" applyBorder="1" applyAlignment="1">
      <alignment horizontal="center" vertical="center"/>
    </xf>
    <xf numFmtId="0" fontId="9" fillId="48" borderId="0" xfId="0" applyFont="1" applyFill="1" applyBorder="1" applyAlignment="1">
      <alignment horizontal="center" vertical="center"/>
    </xf>
    <xf numFmtId="0" fontId="9" fillId="48" borderId="23" xfId="0" applyFont="1" applyFill="1" applyBorder="1" applyAlignment="1">
      <alignment horizontal="center" vertical="center"/>
    </xf>
    <xf numFmtId="0" fontId="0" fillId="0" borderId="53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49" fontId="0" fillId="0" borderId="3" xfId="0" applyNumberFormat="1" applyBorder="1" applyAlignment="1" applyProtection="1">
      <alignment horizontal="center" vertical="center"/>
      <protection locked="0"/>
    </xf>
    <xf numFmtId="164" fontId="0" fillId="0" borderId="3" xfId="0" applyNumberFormat="1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0" fillId="0" borderId="49" xfId="0" applyBorder="1" applyAlignment="1" applyProtection="1">
      <alignment horizontal="center" vertical="center"/>
      <protection locked="0"/>
    </xf>
    <xf numFmtId="0" fontId="0" fillId="50" borderId="6" xfId="0" applyFill="1" applyBorder="1" applyAlignment="1">
      <alignment horizontal="center" vertical="center"/>
    </xf>
    <xf numFmtId="0" fontId="0" fillId="50" borderId="7" xfId="0" applyFill="1" applyBorder="1" applyAlignment="1">
      <alignment horizontal="center" vertical="center"/>
    </xf>
    <xf numFmtId="0" fontId="0" fillId="50" borderId="10" xfId="0" applyFill="1" applyBorder="1" applyAlignment="1">
      <alignment horizontal="center" vertical="center"/>
    </xf>
    <xf numFmtId="0" fontId="0" fillId="50" borderId="12" xfId="0" applyFill="1" applyBorder="1" applyAlignment="1">
      <alignment horizontal="center" vertical="center"/>
    </xf>
    <xf numFmtId="0" fontId="0" fillId="51" borderId="6" xfId="0" applyFill="1" applyBorder="1" applyAlignment="1">
      <alignment horizontal="center" vertical="center"/>
    </xf>
    <xf numFmtId="0" fontId="0" fillId="51" borderId="7" xfId="0" applyFill="1" applyBorder="1" applyAlignment="1">
      <alignment horizontal="center" vertical="center"/>
    </xf>
    <xf numFmtId="0" fontId="0" fillId="51" borderId="10" xfId="0" applyFill="1" applyBorder="1" applyAlignment="1">
      <alignment horizontal="center" vertical="center"/>
    </xf>
    <xf numFmtId="0" fontId="0" fillId="51" borderId="12" xfId="0" applyFill="1" applyBorder="1" applyAlignment="1">
      <alignment horizontal="center" vertical="center"/>
    </xf>
    <xf numFmtId="0" fontId="0" fillId="52" borderId="6" xfId="0" applyFill="1" applyBorder="1" applyAlignment="1">
      <alignment horizontal="center" vertical="center"/>
    </xf>
    <xf numFmtId="0" fontId="0" fillId="52" borderId="7" xfId="0" applyFill="1" applyBorder="1" applyAlignment="1">
      <alignment horizontal="center" vertical="center"/>
    </xf>
    <xf numFmtId="0" fontId="0" fillId="52" borderId="10" xfId="0" applyFill="1" applyBorder="1" applyAlignment="1">
      <alignment horizontal="center" vertical="center"/>
    </xf>
    <xf numFmtId="0" fontId="0" fillId="52" borderId="12" xfId="0" applyFill="1" applyBorder="1" applyAlignment="1">
      <alignment horizontal="center" vertical="center"/>
    </xf>
    <xf numFmtId="0" fontId="0" fillId="53" borderId="6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3" borderId="10" xfId="0" applyFill="1" applyBorder="1" applyAlignment="1">
      <alignment horizontal="center" vertical="center"/>
    </xf>
    <xf numFmtId="0" fontId="0" fillId="53" borderId="12" xfId="0" applyFill="1" applyBorder="1" applyAlignment="1">
      <alignment horizontal="center" vertical="center"/>
    </xf>
    <xf numFmtId="0" fontId="0" fillId="54" borderId="6" xfId="0" applyFill="1" applyBorder="1" applyAlignment="1">
      <alignment horizontal="center" vertical="center"/>
    </xf>
    <xf numFmtId="0" fontId="0" fillId="54" borderId="5" xfId="0" applyFill="1" applyBorder="1" applyAlignment="1">
      <alignment horizontal="center" vertical="center"/>
    </xf>
    <xf numFmtId="0" fontId="0" fillId="54" borderId="26" xfId="0" applyFill="1" applyBorder="1" applyAlignment="1">
      <alignment horizontal="center" vertical="center"/>
    </xf>
    <xf numFmtId="0" fontId="0" fillId="54" borderId="10" xfId="0" applyFill="1" applyBorder="1" applyAlignment="1">
      <alignment horizontal="center" vertical="center"/>
    </xf>
    <xf numFmtId="0" fontId="0" fillId="54" borderId="11" xfId="0" applyFill="1" applyBorder="1" applyAlignment="1">
      <alignment horizontal="center" vertical="center"/>
    </xf>
    <xf numFmtId="0" fontId="0" fillId="54" borderId="28" xfId="0" applyFill="1" applyBorder="1" applyAlignment="1">
      <alignment horizontal="center" vertical="center"/>
    </xf>
    <xf numFmtId="49" fontId="0" fillId="0" borderId="49" xfId="0" applyNumberFormat="1" applyBorder="1" applyAlignment="1" applyProtection="1">
      <alignment horizontal="center" vertical="center"/>
      <protection locked="0"/>
    </xf>
    <xf numFmtId="164" fontId="0" fillId="0" borderId="49" xfId="0" applyNumberForma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54" xfId="0" applyBorder="1" applyAlignment="1" applyProtection="1">
      <alignment horizontal="center"/>
      <protection locked="0"/>
    </xf>
    <xf numFmtId="0" fontId="0" fillId="49" borderId="25" xfId="0" applyFill="1" applyBorder="1" applyAlignment="1">
      <alignment horizontal="center" vertical="center"/>
    </xf>
    <xf numFmtId="0" fontId="0" fillId="49" borderId="5" xfId="0" applyFill="1" applyBorder="1" applyAlignment="1">
      <alignment horizontal="center" vertical="center"/>
    </xf>
    <xf numFmtId="0" fontId="0" fillId="49" borderId="7" xfId="0" applyFill="1" applyBorder="1" applyAlignment="1">
      <alignment horizontal="center" vertical="center"/>
    </xf>
    <xf numFmtId="0" fontId="0" fillId="49" borderId="27" xfId="0" applyFill="1" applyBorder="1" applyAlignment="1">
      <alignment horizontal="center" vertical="center"/>
    </xf>
    <xf numFmtId="0" fontId="0" fillId="49" borderId="11" xfId="0" applyFill="1" applyBorder="1" applyAlignment="1">
      <alignment horizontal="center" vertical="center"/>
    </xf>
    <xf numFmtId="0" fontId="0" fillId="49" borderId="12" xfId="0" applyFill="1" applyBorder="1" applyAlignment="1">
      <alignment horizontal="center" vertical="center"/>
    </xf>
    <xf numFmtId="0" fontId="0" fillId="0" borderId="49" xfId="0" applyBorder="1" applyAlignment="1" applyProtection="1">
      <alignment horizontal="center"/>
      <protection locked="0"/>
    </xf>
    <xf numFmtId="0" fontId="0" fillId="0" borderId="50" xfId="0" applyBorder="1" applyAlignment="1" applyProtection="1">
      <alignment horizontal="center"/>
      <protection locked="0"/>
    </xf>
    <xf numFmtId="0" fontId="8" fillId="46" borderId="41" xfId="0" applyFont="1" applyFill="1" applyBorder="1" applyAlignment="1">
      <alignment horizontal="center" vertical="center"/>
    </xf>
    <xf numFmtId="0" fontId="8" fillId="46" borderId="34" xfId="0" applyFont="1" applyFill="1" applyBorder="1" applyAlignment="1">
      <alignment horizontal="center" vertical="center"/>
    </xf>
    <xf numFmtId="0" fontId="8" fillId="46" borderId="42" xfId="0" applyFont="1" applyFill="1" applyBorder="1" applyAlignment="1">
      <alignment horizontal="center" vertical="center"/>
    </xf>
    <xf numFmtId="0" fontId="8" fillId="46" borderId="43" xfId="0" applyFont="1" applyFill="1" applyBorder="1" applyAlignment="1">
      <alignment horizontal="center" vertical="center"/>
    </xf>
    <xf numFmtId="0" fontId="8" fillId="46" borderId="1" xfId="0" applyFont="1" applyFill="1" applyBorder="1" applyAlignment="1">
      <alignment horizontal="center" vertical="center"/>
    </xf>
    <xf numFmtId="0" fontId="8" fillId="46" borderId="44" xfId="0" applyFont="1" applyFill="1" applyBorder="1" applyAlignment="1">
      <alignment horizontal="center" vertical="center"/>
    </xf>
    <xf numFmtId="0" fontId="8" fillId="5" borderId="41" xfId="0" applyFont="1" applyFill="1" applyBorder="1" applyAlignment="1">
      <alignment horizontal="center" vertical="center"/>
    </xf>
    <xf numFmtId="0" fontId="8" fillId="5" borderId="34" xfId="0" applyFont="1" applyFill="1" applyBorder="1" applyAlignment="1">
      <alignment horizontal="center" vertical="center"/>
    </xf>
    <xf numFmtId="0" fontId="8" fillId="5" borderId="42" xfId="0" applyFont="1" applyFill="1" applyBorder="1" applyAlignment="1">
      <alignment horizontal="center" vertical="center"/>
    </xf>
    <xf numFmtId="0" fontId="8" fillId="5" borderId="43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44" xfId="0" applyFont="1" applyFill="1" applyBorder="1" applyAlignment="1">
      <alignment horizontal="center" vertical="center"/>
    </xf>
    <xf numFmtId="0" fontId="8" fillId="44" borderId="41" xfId="0" applyFont="1" applyFill="1" applyBorder="1" applyAlignment="1">
      <alignment horizontal="center" vertical="center"/>
    </xf>
    <xf numFmtId="0" fontId="8" fillId="44" borderId="34" xfId="0" applyFont="1" applyFill="1" applyBorder="1" applyAlignment="1">
      <alignment horizontal="center" vertical="center"/>
    </xf>
    <xf numFmtId="0" fontId="8" fillId="44" borderId="42" xfId="0" applyFont="1" applyFill="1" applyBorder="1" applyAlignment="1">
      <alignment horizontal="center" vertical="center"/>
    </xf>
    <xf numFmtId="0" fontId="8" fillId="44" borderId="43" xfId="0" applyFont="1" applyFill="1" applyBorder="1" applyAlignment="1">
      <alignment horizontal="center" vertical="center"/>
    </xf>
    <xf numFmtId="0" fontId="8" fillId="44" borderId="1" xfId="0" applyFont="1" applyFill="1" applyBorder="1" applyAlignment="1">
      <alignment horizontal="center" vertical="center"/>
    </xf>
    <xf numFmtId="0" fontId="8" fillId="44" borderId="44" xfId="0" applyFont="1" applyFill="1" applyBorder="1" applyAlignment="1">
      <alignment horizontal="center" vertical="center"/>
    </xf>
    <xf numFmtId="0" fontId="8" fillId="17" borderId="41" xfId="0" applyFont="1" applyFill="1" applyBorder="1" applyAlignment="1">
      <alignment horizontal="center" vertical="center"/>
    </xf>
    <xf numFmtId="0" fontId="8" fillId="17" borderId="34" xfId="0" applyFont="1" applyFill="1" applyBorder="1" applyAlignment="1">
      <alignment horizontal="center" vertical="center"/>
    </xf>
    <xf numFmtId="0" fontId="8" fillId="17" borderId="42" xfId="0" applyFont="1" applyFill="1" applyBorder="1" applyAlignment="1">
      <alignment horizontal="center" vertical="center"/>
    </xf>
    <xf numFmtId="0" fontId="8" fillId="17" borderId="43" xfId="0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horizontal="center" vertical="center"/>
    </xf>
    <xf numFmtId="0" fontId="8" fillId="17" borderId="44" xfId="0" applyFont="1" applyFill="1" applyBorder="1" applyAlignment="1">
      <alignment horizontal="center" vertical="center"/>
    </xf>
    <xf numFmtId="0" fontId="0" fillId="0" borderId="4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4" xfId="0" applyBorder="1" applyAlignment="1">
      <alignment horizontal="center"/>
    </xf>
    <xf numFmtId="14" fontId="0" fillId="0" borderId="0" xfId="0" applyNumberFormat="1" applyBorder="1" applyAlignment="1" applyProtection="1">
      <alignment horizontal="center"/>
      <protection locked="0"/>
    </xf>
    <xf numFmtId="164" fontId="0" fillId="0" borderId="23" xfId="0" applyNumberFormat="1" applyBorder="1" applyAlignment="1" applyProtection="1">
      <alignment horizontal="center"/>
      <protection locked="0"/>
    </xf>
    <xf numFmtId="0" fontId="9" fillId="47" borderId="25" xfId="0" applyFont="1" applyFill="1" applyBorder="1" applyAlignment="1">
      <alignment horizontal="center" vertical="center"/>
    </xf>
    <xf numFmtId="0" fontId="9" fillId="47" borderId="5" xfId="0" applyFont="1" applyFill="1" applyBorder="1" applyAlignment="1">
      <alignment horizontal="center" vertical="center"/>
    </xf>
    <xf numFmtId="0" fontId="9" fillId="47" borderId="29" xfId="0" applyFont="1" applyFill="1" applyBorder="1" applyAlignment="1">
      <alignment horizontal="center" vertical="center"/>
    </xf>
    <xf numFmtId="0" fontId="9" fillId="47" borderId="30" xfId="0" applyFont="1" applyFill="1" applyBorder="1" applyAlignment="1">
      <alignment horizontal="center" vertical="center"/>
    </xf>
    <xf numFmtId="0" fontId="14" fillId="61" borderId="19" xfId="0" applyFont="1" applyFill="1" applyBorder="1" applyAlignment="1">
      <alignment horizontal="center" vertical="center"/>
    </xf>
    <xf numFmtId="0" fontId="14" fillId="61" borderId="20" xfId="0" applyFont="1" applyFill="1" applyBorder="1" applyAlignment="1">
      <alignment horizontal="center" vertical="center"/>
    </xf>
    <xf numFmtId="0" fontId="14" fillId="61" borderId="29" xfId="0" applyFont="1" applyFill="1" applyBorder="1" applyAlignment="1">
      <alignment horizontal="center" vertical="center"/>
    </xf>
    <xf numFmtId="0" fontId="14" fillId="61" borderId="30" xfId="0" applyFont="1" applyFill="1" applyBorder="1" applyAlignment="1">
      <alignment horizontal="center" vertical="center"/>
    </xf>
    <xf numFmtId="164" fontId="15" fillId="61" borderId="20" xfId="0" applyNumberFormat="1" applyFont="1" applyFill="1" applyBorder="1" applyAlignment="1">
      <alignment horizontal="center" vertical="center"/>
    </xf>
    <xf numFmtId="164" fontId="15" fillId="61" borderId="30" xfId="0" applyNumberFormat="1" applyFont="1" applyFill="1" applyBorder="1" applyAlignment="1">
      <alignment horizontal="center" vertical="center"/>
    </xf>
    <xf numFmtId="164" fontId="15" fillId="61" borderId="21" xfId="0" applyNumberFormat="1" applyFont="1" applyFill="1" applyBorder="1" applyAlignment="1">
      <alignment horizontal="center" vertical="center"/>
    </xf>
    <xf numFmtId="164" fontId="15" fillId="61" borderId="31" xfId="0" applyNumberFormat="1" applyFont="1" applyFill="1" applyBorder="1" applyAlignment="1">
      <alignment horizontal="center" vertical="center"/>
    </xf>
    <xf numFmtId="0" fontId="9" fillId="45" borderId="19" xfId="0" applyFont="1" applyFill="1" applyBorder="1" applyAlignment="1">
      <alignment horizontal="center" vertical="center"/>
    </xf>
    <xf numFmtId="0" fontId="9" fillId="45" borderId="20" xfId="0" applyFont="1" applyFill="1" applyBorder="1" applyAlignment="1">
      <alignment horizontal="center" vertical="center"/>
    </xf>
    <xf numFmtId="0" fontId="9" fillId="45" borderId="21" xfId="0" applyFont="1" applyFill="1" applyBorder="1" applyAlignment="1">
      <alignment horizontal="center" vertical="center"/>
    </xf>
    <xf numFmtId="0" fontId="9" fillId="45" borderId="29" xfId="0" applyFont="1" applyFill="1" applyBorder="1" applyAlignment="1">
      <alignment horizontal="center" vertical="center"/>
    </xf>
    <xf numFmtId="0" fontId="9" fillId="45" borderId="30" xfId="0" applyFont="1" applyFill="1" applyBorder="1" applyAlignment="1">
      <alignment horizontal="center" vertical="center"/>
    </xf>
    <xf numFmtId="0" fontId="9" fillId="45" borderId="31" xfId="0" applyFont="1" applyFill="1" applyBorder="1" applyAlignment="1">
      <alignment horizontal="center" vertical="center"/>
    </xf>
    <xf numFmtId="0" fontId="9" fillId="47" borderId="6" xfId="0" applyFont="1" applyFill="1" applyBorder="1" applyAlignment="1">
      <alignment horizontal="center" vertical="center"/>
    </xf>
    <xf numFmtId="0" fontId="9" fillId="47" borderId="40" xfId="0" applyFont="1" applyFill="1" applyBorder="1" applyAlignment="1">
      <alignment horizontal="center" vertical="center"/>
    </xf>
    <xf numFmtId="164" fontId="10" fillId="47" borderId="5" xfId="0" applyNumberFormat="1" applyFont="1" applyFill="1" applyBorder="1" applyAlignment="1">
      <alignment horizontal="center" vertical="center"/>
    </xf>
    <xf numFmtId="164" fontId="10" fillId="47" borderId="7" xfId="0" applyNumberFormat="1" applyFont="1" applyFill="1" applyBorder="1" applyAlignment="1">
      <alignment horizontal="center" vertical="center"/>
    </xf>
    <xf numFmtId="164" fontId="10" fillId="47" borderId="30" xfId="0" applyNumberFormat="1" applyFont="1" applyFill="1" applyBorder="1" applyAlignment="1">
      <alignment horizontal="center" vertical="center"/>
    </xf>
    <xf numFmtId="164" fontId="10" fillId="47" borderId="39" xfId="0" applyNumberFormat="1" applyFont="1" applyFill="1" applyBorder="1" applyAlignment="1">
      <alignment horizontal="center" vertical="center"/>
    </xf>
    <xf numFmtId="164" fontId="10" fillId="47" borderId="26" xfId="0" applyNumberFormat="1" applyFont="1" applyFill="1" applyBorder="1" applyAlignment="1">
      <alignment horizontal="center" vertical="center"/>
    </xf>
    <xf numFmtId="164" fontId="10" fillId="47" borderId="31" xfId="0" applyNumberFormat="1" applyFont="1" applyFill="1" applyBorder="1" applyAlignment="1">
      <alignment horizontal="center" vertical="center"/>
    </xf>
    <xf numFmtId="0" fontId="0" fillId="0" borderId="25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78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EDF1F9"/>
        </patternFill>
      </fill>
    </dxf>
    <dxf>
      <fill>
        <patternFill>
          <bgColor rgb="FFEDF1F9"/>
        </patternFill>
      </fill>
    </dxf>
    <dxf>
      <fill>
        <patternFill>
          <bgColor rgb="FFEDF1F9"/>
        </patternFill>
      </fill>
    </dxf>
    <dxf>
      <fill>
        <patternFill>
          <bgColor theme="4" tint="0.79998168889431442"/>
        </patternFill>
      </fill>
    </dxf>
    <dxf>
      <fill>
        <patternFill>
          <bgColor rgb="FFEDF1F9"/>
        </patternFill>
      </fill>
    </dxf>
    <dxf>
      <fill>
        <patternFill>
          <bgColor rgb="FFECF0F8"/>
        </patternFill>
      </fill>
    </dxf>
    <dxf>
      <numFmt numFmtId="165" formatCode=";;;"/>
      <alignment horizontal="center" vertical="center" textRotation="0" wrapText="0" indent="0" justifyLastLine="0" shrinkToFit="0" readingOrder="0"/>
    </dxf>
    <dxf>
      <numFmt numFmtId="165" formatCode=";;;"/>
      <alignment horizontal="center" vertical="center" textRotation="0" wrapText="0" indent="0" justifyLastLine="0" shrinkToFit="0" readingOrder="0"/>
    </dxf>
    <dxf>
      <numFmt numFmtId="165" formatCode=";;;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m/d/yyyy"/>
      <alignment horizontal="center" vertic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ECF5E7"/>
        </patternFill>
      </fill>
    </dxf>
    <dxf>
      <fill>
        <patternFill>
          <bgColor rgb="FFFFC5C5"/>
        </patternFill>
      </fill>
    </dxf>
    <dxf>
      <fill>
        <gradientFill type="path" left="0.5" right="0.5" top="0.5" bottom="0.5">
          <stop position="0">
            <color theme="0"/>
          </stop>
          <stop position="1">
            <color rgb="FFFFD03B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0" tint="-0.1490218817712943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8" tint="0.59999389629810485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5" tint="0.59999389629810485"/>
          </stop>
        </gradientFill>
      </fill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rgb="FFFFD5AB"/>
        </patternFill>
      </fill>
    </dxf>
    <dxf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0" tint="-0.1490218817712943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5" tint="0.59999389629810485"/>
          </stop>
        </gradientFill>
      </fill>
    </dxf>
    <dxf>
      <fill>
        <patternFill>
          <bgColor rgb="FFA7FFA7"/>
        </patternFill>
      </fill>
    </dxf>
    <dxf>
      <fill>
        <patternFill>
          <bgColor rgb="FFABFFFF"/>
        </patternFill>
      </fill>
    </dxf>
    <dxf>
      <fill>
        <patternFill>
          <bgColor rgb="FFFFFFCC"/>
        </patternFill>
      </fill>
    </dxf>
    <dxf>
      <fill>
        <patternFill>
          <bgColor rgb="FFFFCCFF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rgb="FFFF0000"/>
      </font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7171"/>
          </stop>
          <stop position="1">
            <color theme="0"/>
          </stop>
        </gradientFill>
      </fill>
    </dxf>
    <dxf>
      <fill>
        <patternFill>
          <bgColor theme="9" tint="0.59996337778862885"/>
        </patternFill>
      </fill>
    </dxf>
  </dxfs>
  <tableStyles count="1" defaultTableStyle="TableStyleMedium2" defaultPivotStyle="PivotStyleLight16">
    <tableStyle name="Table Style 1" pivot="0" count="0" xr9:uid="{00000000-0011-0000-FFFF-FFFF00000000}"/>
  </tableStyles>
  <colors>
    <mruColors>
      <color rgb="FFFF66CC"/>
      <color rgb="FFFF7171"/>
      <color rgb="FFFFFF99"/>
      <color rgb="FF064E90"/>
      <color rgb="FFCB2F05"/>
      <color rgb="FFFFFFBD"/>
      <color rgb="FFFF7575"/>
      <color rgb="FFFF5757"/>
      <color rgb="FFFFAFAF"/>
      <color rgb="FFFF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 Risk Cases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326658406277896"/>
          <c:y val="0.18148008736447546"/>
          <c:w val="0.8595083736360366"/>
          <c:h val="0.46448227224690752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Home!$G$28:$G$33</c:f>
              <c:strCache>
                <c:ptCount val="6"/>
                <c:pt idx="0">
                  <c:v>CSM  In progress</c:v>
                </c:pt>
                <c:pt idx="1">
                  <c:v>CSM  Leader Review</c:v>
                </c:pt>
                <c:pt idx="2">
                  <c:v>CET In Progress</c:v>
                </c:pt>
                <c:pt idx="3">
                  <c:v>CET Leader Review</c:v>
                </c:pt>
                <c:pt idx="4">
                  <c:v>Cancellation</c:v>
                </c:pt>
                <c:pt idx="5">
                  <c:v>Saved</c:v>
                </c:pt>
              </c:strCache>
            </c:strRef>
          </c:cat>
          <c:val>
            <c:numRef>
              <c:f>Home!$H$28:$H$33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BFD9-41BC-A718-2B3FFBCFCD1E}"/>
            </c:ext>
          </c:extLst>
        </c:ser>
        <c:ser>
          <c:idx val="1"/>
          <c:order val="1"/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Home!$G$28:$G$33</c:f>
              <c:strCache>
                <c:ptCount val="6"/>
                <c:pt idx="0">
                  <c:v>CSM  In progress</c:v>
                </c:pt>
                <c:pt idx="1">
                  <c:v>CSM  Leader Review</c:v>
                </c:pt>
                <c:pt idx="2">
                  <c:v>CET In Progress</c:v>
                </c:pt>
                <c:pt idx="3">
                  <c:v>CET Leader Review</c:v>
                </c:pt>
                <c:pt idx="4">
                  <c:v>Cancellation</c:v>
                </c:pt>
                <c:pt idx="5">
                  <c:v>Saved</c:v>
                </c:pt>
              </c:strCache>
            </c:strRef>
          </c:cat>
          <c:val>
            <c:numRef>
              <c:f>Home!$I$28:$I$33</c:f>
              <c:numCache>
                <c:formatCode>General</c:formatCode>
                <c:ptCount val="6"/>
                <c:pt idx="0">
                  <c:v>7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D9-41BC-A718-2B3FFBCFCD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25340728"/>
        <c:axId val="725341056"/>
        <c:axId val="0"/>
      </c:bar3DChart>
      <c:catAx>
        <c:axId val="725340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341056"/>
        <c:crosses val="autoZero"/>
        <c:auto val="0"/>
        <c:lblAlgn val="ctr"/>
        <c:lblOffset val="100"/>
        <c:noMultiLvlLbl val="0"/>
      </c:catAx>
      <c:valAx>
        <c:axId val="72534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340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  <a:alpha val="13000"/>
          </a:schemeClr>
        </a:gs>
        <a:gs pos="74000">
          <a:schemeClr val="bg1">
            <a:lumMod val="95000"/>
            <a:alpha val="72000"/>
          </a:schemeClr>
        </a:gs>
        <a:gs pos="83000">
          <a:schemeClr val="bg1">
            <a:lumMod val="85000"/>
            <a:alpha val="52000"/>
          </a:schemeClr>
        </a:gs>
        <a:gs pos="100000">
          <a:schemeClr val="bg1">
            <a:lumMod val="75000"/>
            <a:alpha val="76000"/>
          </a:schemeClr>
        </a:gs>
      </a:gsLst>
      <a:lin ang="5400000" scaled="1"/>
    </a:gra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chemeClr val="tx1">
                    <a:lumMod val="95000"/>
                    <a:lumOff val="5000"/>
                  </a:schemeClr>
                </a:solidFill>
              </a:rPr>
              <a:t>Value</a:t>
            </a:r>
            <a:r>
              <a:rPr lang="en-US" sz="1000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Add Calls Completed</a:t>
            </a:r>
          </a:p>
        </c:rich>
      </c:tx>
      <c:layout>
        <c:manualLayout>
          <c:xMode val="edge"/>
          <c:yMode val="edge"/>
          <c:x val="0.19432543213107834"/>
          <c:y val="1.004394026149042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ln>
              <a:gradFill>
                <a:gsLst>
                  <a:gs pos="0">
                    <a:schemeClr val="accent1">
                      <a:lumMod val="20000"/>
                      <a:lumOff val="80000"/>
                    </a:schemeClr>
                  </a:gs>
                  <a:gs pos="72000">
                    <a:schemeClr val="accent1">
                      <a:lumMod val="60000"/>
                      <a:lumOff val="40000"/>
                    </a:schemeClr>
                  </a:gs>
                  <a:gs pos="100000">
                    <a:schemeClr val="bg1">
                      <a:lumMod val="95000"/>
                    </a:schemeClr>
                  </a:gs>
                </a:gsLst>
                <a:lin ang="5400000" scaled="1"/>
              </a:gradFill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100000">
                    <a:srgbClr val="064E90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  <a:gs pos="50000">
                    <a:schemeClr val="accent1">
                      <a:lumMod val="40000"/>
                      <a:lumOff val="60000"/>
                    </a:schemeClr>
                  </a:gs>
                  <a:gs pos="100000">
                    <a:schemeClr val="tx1">
                      <a:lumMod val="65000"/>
                      <a:lumOff val="35000"/>
                    </a:schemeClr>
                  </a:gs>
                  <a:gs pos="100000">
                    <a:schemeClr val="accent1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gradFill>
                  <a:gsLst>
                    <a:gs pos="0">
                      <a:schemeClr val="accent1">
                        <a:lumMod val="20000"/>
                        <a:lumOff val="80000"/>
                      </a:schemeClr>
                    </a:gs>
                    <a:gs pos="72000">
                      <a:schemeClr val="accent1">
                        <a:lumMod val="60000"/>
                        <a:lumOff val="40000"/>
                      </a:schemeClr>
                    </a:gs>
                    <a:gs pos="100000">
                      <a:schemeClr val="bg1">
                        <a:lumMod val="95000"/>
                      </a:schemeClr>
                    </a:gs>
                  </a:gsLst>
                  <a:lin ang="5400000" scaled="1"/>
                </a:gradFill>
              </a:ln>
            </c:spPr>
            <c:extLst>
              <c:ext xmlns:c16="http://schemas.microsoft.com/office/drawing/2014/chart" uri="{C3380CC4-5D6E-409C-BE32-E72D297353CC}">
                <c16:uniqueId val="{00000000-8FE0-421E-8391-93861FD08555}"/>
              </c:ext>
            </c:extLst>
          </c:dPt>
          <c:val>
            <c:numRef>
              <c:f>Home!$AL$11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E0-421E-8391-93861FD08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53866352"/>
        <c:axId val="153865568"/>
      </c:barChart>
      <c:catAx>
        <c:axId val="153866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153865568"/>
        <c:crosses val="autoZero"/>
        <c:auto val="1"/>
        <c:lblAlgn val="ctr"/>
        <c:lblOffset val="100"/>
        <c:noMultiLvlLbl val="0"/>
      </c:catAx>
      <c:valAx>
        <c:axId val="15386556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866352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tx1">
            <a:lumMod val="65000"/>
            <a:lumOff val="35000"/>
            <a:alpha val="70000"/>
          </a:schemeClr>
        </a:gs>
        <a:gs pos="50000">
          <a:schemeClr val="bg1">
            <a:alpha val="69000"/>
          </a:schemeClr>
        </a:gs>
        <a:gs pos="100000">
          <a:schemeClr val="tx1">
            <a:lumMod val="65000"/>
            <a:lumOff val="35000"/>
          </a:schemeClr>
        </a:gs>
        <a:gs pos="100000">
          <a:schemeClr val="bg1">
            <a:lumMod val="65000"/>
            <a:alpha val="60000"/>
          </a:schemeClr>
        </a:gs>
      </a:gsLst>
      <a:lin ang="162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chemeClr val="tx1">
                    <a:lumMod val="95000"/>
                    <a:lumOff val="5000"/>
                  </a:schemeClr>
                </a:solidFill>
              </a:rPr>
              <a:t>Conference Calls Completed</a:t>
            </a:r>
          </a:p>
        </c:rich>
      </c:tx>
      <c:layout>
        <c:manualLayout>
          <c:xMode val="edge"/>
          <c:yMode val="edge"/>
          <c:x val="0.19432543213107834"/>
          <c:y val="1.004394026149042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horzBrick">
              <a:fgClr>
                <a:schemeClr val="accent1">
                  <a:lumMod val="20000"/>
                  <a:lumOff val="80000"/>
                </a:schemeClr>
              </a:fgClr>
              <a:bgClr>
                <a:schemeClr val="bg1"/>
              </a:bgClr>
            </a:pattFill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rgbClr val="CB2F05"/>
                  </a:gs>
                  <a:gs pos="31000">
                    <a:srgbClr val="FFAFAF"/>
                  </a:gs>
                  <a:gs pos="72000">
                    <a:srgbClr val="FF7575"/>
                  </a:gs>
                  <a:gs pos="100000">
                    <a:srgbClr val="FF5757"/>
                  </a:gs>
                </a:gsLst>
                <a:lin ang="5400000" scaled="1"/>
              </a:gradFill>
            </c:spPr>
            <c:extLst>
              <c:ext xmlns:c16="http://schemas.microsoft.com/office/drawing/2014/chart" uri="{C3380CC4-5D6E-409C-BE32-E72D297353CC}">
                <c16:uniqueId val="{00000000-63AD-45A0-9F1A-8E2A55041D57}"/>
              </c:ext>
            </c:extLst>
          </c:dPt>
          <c:val>
            <c:numRef>
              <c:f>Home!$AL$12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AD-45A0-9F1A-8E2A55041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53866352"/>
        <c:axId val="153865568"/>
      </c:barChart>
      <c:catAx>
        <c:axId val="153866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153865568"/>
        <c:crosses val="autoZero"/>
        <c:auto val="1"/>
        <c:lblAlgn val="ctr"/>
        <c:lblOffset val="100"/>
        <c:noMultiLvlLbl val="0"/>
      </c:catAx>
      <c:valAx>
        <c:axId val="15386556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866352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tx1">
            <a:lumMod val="65000"/>
            <a:lumOff val="35000"/>
            <a:alpha val="70000"/>
          </a:schemeClr>
        </a:gs>
        <a:gs pos="50000">
          <a:schemeClr val="bg1">
            <a:alpha val="70000"/>
          </a:schemeClr>
        </a:gs>
        <a:gs pos="100000">
          <a:schemeClr val="tx1">
            <a:lumMod val="65000"/>
            <a:lumOff val="35000"/>
          </a:schemeClr>
        </a:gs>
        <a:gs pos="100000">
          <a:schemeClr val="bg1">
            <a:lumMod val="65000"/>
            <a:alpha val="68000"/>
          </a:schemeClr>
        </a:gs>
      </a:gsLst>
      <a:lin ang="162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chemeClr val="tx1">
                    <a:lumMod val="95000"/>
                    <a:lumOff val="5000"/>
                  </a:schemeClr>
                </a:solidFill>
              </a:rPr>
              <a:t>Completed Store Visits Completed</a:t>
            </a:r>
          </a:p>
        </c:rich>
      </c:tx>
      <c:layout>
        <c:manualLayout>
          <c:xMode val="edge"/>
          <c:yMode val="edge"/>
          <c:x val="0.19432543213107834"/>
          <c:y val="1.004394026149042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0000">
                  <a:srgbClr val="D7D556"/>
                </a:gs>
                <a:gs pos="0">
                  <a:schemeClr val="bg2">
                    <a:lumMod val="75000"/>
                  </a:schemeClr>
                </a:gs>
                <a:gs pos="38000">
                  <a:srgbClr val="FFFF00"/>
                </a:gs>
                <a:gs pos="100000">
                  <a:srgbClr val="FFFFBD"/>
                </a:gs>
              </a:gsLst>
              <a:lin ang="5400000" scaled="1"/>
            </a:gradFill>
            <a:ln>
              <a:gradFill>
                <a:gsLst>
                  <a:gs pos="0">
                    <a:schemeClr val="accent4">
                      <a:lumMod val="20000"/>
                      <a:lumOff val="80000"/>
                    </a:schemeClr>
                  </a:gs>
                  <a:gs pos="74000">
                    <a:srgbClr val="FFFF99"/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rgbClr val="FFFF00"/>
                  </a:gs>
                </a:gsLst>
                <a:lin ang="5400000" scaled="1"/>
              </a:gradFill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20000">
                    <a:srgbClr val="D7D556"/>
                  </a:gs>
                  <a:gs pos="0">
                    <a:srgbClr val="FFFF00"/>
                  </a:gs>
                  <a:gs pos="38000">
                    <a:srgbClr val="FFFF00"/>
                  </a:gs>
                  <a:gs pos="100000">
                    <a:srgbClr val="FFFFBD"/>
                  </a:gs>
                </a:gsLst>
                <a:lin ang="5400000" scaled="1"/>
              </a:gradFill>
              <a:ln>
                <a:gradFill>
                  <a:gsLst>
                    <a:gs pos="0">
                      <a:schemeClr val="accent4">
                        <a:lumMod val="20000"/>
                        <a:lumOff val="80000"/>
                      </a:schemeClr>
                    </a:gs>
                    <a:gs pos="74000">
                      <a:srgbClr val="FFFF99"/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rgbClr val="FFFF00"/>
                    </a:gs>
                  </a:gsLst>
                  <a:lin ang="5400000" scaled="1"/>
                </a:gradFill>
              </a:ln>
            </c:spPr>
            <c:extLst>
              <c:ext xmlns:c16="http://schemas.microsoft.com/office/drawing/2014/chart" uri="{C3380CC4-5D6E-409C-BE32-E72D297353CC}">
                <c16:uniqueId val="{00000000-F582-440B-AC71-BF55ED74C35C}"/>
              </c:ext>
            </c:extLst>
          </c:dPt>
          <c:val>
            <c:numRef>
              <c:f>Home!$AL$13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82-440B-AC71-BF55ED74C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53866352"/>
        <c:axId val="153865568"/>
      </c:barChart>
      <c:catAx>
        <c:axId val="153866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153865568"/>
        <c:crosses val="autoZero"/>
        <c:auto val="1"/>
        <c:lblAlgn val="ctr"/>
        <c:lblOffset val="100"/>
        <c:noMultiLvlLbl val="0"/>
      </c:catAx>
      <c:valAx>
        <c:axId val="15386556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866352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tx1">
            <a:lumMod val="65000"/>
            <a:lumOff val="35000"/>
            <a:alpha val="70000"/>
          </a:schemeClr>
        </a:gs>
        <a:gs pos="50000">
          <a:schemeClr val="bg1">
            <a:alpha val="70000"/>
          </a:schemeClr>
        </a:gs>
        <a:gs pos="100000">
          <a:schemeClr val="tx1">
            <a:lumMod val="65000"/>
            <a:lumOff val="35000"/>
          </a:schemeClr>
        </a:gs>
        <a:gs pos="100000">
          <a:schemeClr val="bg1">
            <a:lumMod val="65000"/>
            <a:alpha val="67000"/>
          </a:schemeClr>
        </a:gs>
      </a:gsLst>
      <a:lin ang="162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$V$8" lockText="1" noThreeD="1"/>
</file>

<file path=xl/ctrlProps/ctrlProp2.xml><?xml version="1.0" encoding="utf-8"?>
<formControlPr xmlns="http://schemas.microsoft.com/office/spreadsheetml/2009/9/main" objectType="CheckBox" fmlaLink="$V$9" lockText="1" noThreeD="1"/>
</file>

<file path=xl/ctrlProps/ctrlProp3.xml><?xml version="1.0" encoding="utf-8"?>
<formControlPr xmlns="http://schemas.microsoft.com/office/spreadsheetml/2009/9/main" objectType="CheckBox" checked="Checked" fmlaLink="$V$10" lockText="1" noThreeD="1"/>
</file>

<file path=xl/ctrlProps/ctrlProp4.xml><?xml version="1.0" encoding="utf-8"?>
<formControlPr xmlns="http://schemas.microsoft.com/office/spreadsheetml/2009/9/main" objectType="CheckBox" checked="Checked" fmlaLink="$V$11" lockText="1" noThreeD="1"/>
</file>

<file path=xl/ctrlProps/ctrlProp5.xml><?xml version="1.0" encoding="utf-8"?>
<formControlPr xmlns="http://schemas.microsoft.com/office/spreadsheetml/2009/9/main" objectType="CheckBox" checked="Checked" fmlaLink="$V$12" lockText="1" noThreeD="1"/>
</file>

<file path=xl/ctrlProps/ctrlProp6.xml><?xml version="1.0" encoding="utf-8"?>
<formControlPr xmlns="http://schemas.microsoft.com/office/spreadsheetml/2009/9/main" objectType="CheckBox" checked="Checked" fmlaLink="$V$13" lockText="1" noThreeD="1"/>
</file>

<file path=xl/ctrlProps/ctrlProp7.xml><?xml version="1.0" encoding="utf-8"?>
<formControlPr xmlns="http://schemas.microsoft.com/office/spreadsheetml/2009/9/main" objectType="CheckBox" checked="Checked" fmlaLink="$V$14" lockText="1" noThreeD="1"/>
</file>

<file path=xl/ctrlProps/ctrlProp8.xml><?xml version="1.0" encoding="utf-8"?>
<formControlPr xmlns="http://schemas.microsoft.com/office/spreadsheetml/2009/9/main" objectType="CheckBox" fmlaLink="$V$15" lockText="1" noThreeD="1"/>
</file>

<file path=xl/ctrlProps/ctrlProp9.xml><?xml version="1.0" encoding="utf-8"?>
<formControlPr xmlns="http://schemas.microsoft.com/office/spreadsheetml/2009/9/main" objectType="CheckBox" fmlaLink="$V$16" lockText="1" noThreeD="1"/>
</file>

<file path=xl/ctrlProps/ctrlProp10.xml><?xml version="1.0" encoding="utf-8"?>
<formControlPr xmlns="http://schemas.microsoft.com/office/spreadsheetml/2009/9/main" objectType="CheckBox" checked="Checked" fmlaLink="$V$17" lockText="1" noThreeD="1"/>
</file>

<file path=xl/ctrlProps/ctrlProp11.xml><?xml version="1.0" encoding="utf-8"?>
<formControlPr xmlns="http://schemas.microsoft.com/office/spreadsheetml/2009/9/main" objectType="CheckBox" fmlaLink="$V$18" lockText="1" noThreeD="1"/>
</file>

<file path=xl/ctrlProps/ctrlProp12.xml><?xml version="1.0" encoding="utf-8"?>
<formControlPr xmlns="http://schemas.microsoft.com/office/spreadsheetml/2009/9/main" objectType="CheckBox" fmlaLink="$V$19" lockText="1" noThreeD="1"/>
</file>

<file path=xl/ctrlProps/ctrlProp13.xml><?xml version="1.0" encoding="utf-8"?>
<formControlPr xmlns="http://schemas.microsoft.com/office/spreadsheetml/2009/9/main" objectType="CheckBox" fmlaLink="$V$20" lockText="1" noThreeD="1"/>
</file>

<file path=xl/ctrlProps/ctrlProp14.xml><?xml version="1.0" encoding="utf-8"?>
<formControlPr xmlns="http://schemas.microsoft.com/office/spreadsheetml/2009/9/main" objectType="CheckBox" fmlaLink="$V$21" lockText="1" noThreeD="1"/>
</file>

<file path=xl/ctrlProps/ctrlProp15.xml><?xml version="1.0" encoding="utf-8"?>
<formControlPr xmlns="http://schemas.microsoft.com/office/spreadsheetml/2009/9/main" objectType="CheckBox" fmlaLink="$V$22" lockText="1" noThreeD="1"/>
</file>

<file path=xl/ctrlProps/ctrlProp16.xml><?xml version="1.0" encoding="utf-8"?>
<formControlPr xmlns="http://schemas.microsoft.com/office/spreadsheetml/2009/9/main" objectType="CheckBox" fmlaLink="$V$23" lockText="1" noThreeD="1"/>
</file>

<file path=xl/ctrlProps/ctrlProp17.xml><?xml version="1.0" encoding="utf-8"?>
<formControlPr xmlns="http://schemas.microsoft.com/office/spreadsheetml/2009/9/main" objectType="CheckBox" fmlaLink="$V$24" lockText="1" noThreeD="1"/>
</file>

<file path=xl/ctrlProps/ctrlProp18.xml><?xml version="1.0" encoding="utf-8"?>
<formControlPr xmlns="http://schemas.microsoft.com/office/spreadsheetml/2009/9/main" objectType="CheckBox" fmlaLink="$V$25" lockText="1" noThreeD="1"/>
</file>

<file path=xl/ctrlProps/ctrlProp19.xml><?xml version="1.0" encoding="utf-8"?>
<formControlPr xmlns="http://schemas.microsoft.com/office/spreadsheetml/2009/9/main" objectType="CheckBox" fmlaLink="$V$26" lockText="1" noThreeD="1"/>
</file>

<file path=xl/ctrlProps/ctrlProp20.xml><?xml version="1.0" encoding="utf-8"?>
<formControlPr xmlns="http://schemas.microsoft.com/office/spreadsheetml/2009/9/main" objectType="CheckBox" fmlaLink="$V$27" lockText="1" noThreeD="1"/>
</file>

<file path=xl/ctrlProps/ctrlProp21.xml><?xml version="1.0" encoding="utf-8"?>
<formControlPr xmlns="http://schemas.microsoft.com/office/spreadsheetml/2009/9/main" objectType="CheckBox" fmlaLink="$V$28" lockText="1" noThreeD="1"/>
</file>

<file path=xl/ctrlProps/ctrlProp22.xml><?xml version="1.0" encoding="utf-8"?>
<formControlPr xmlns="http://schemas.microsoft.com/office/spreadsheetml/2009/9/main" objectType="CheckBox" fmlaLink="$V$29" lockText="1" noThreeD="1"/>
</file>

<file path=xl/ctrlProps/ctrlProp23.xml><?xml version="1.0" encoding="utf-8"?>
<formControlPr xmlns="http://schemas.microsoft.com/office/spreadsheetml/2009/9/main" objectType="CheckBox" fmlaLink="$V$30" lockText="1" noThreeD="1"/>
</file>

<file path=xl/ctrlProps/ctrlProp24.xml><?xml version="1.0" encoding="utf-8"?>
<formControlPr xmlns="http://schemas.microsoft.com/office/spreadsheetml/2009/9/main" objectType="CheckBox" checked="Checked" fmlaLink="$L$8" lockText="1" noThreeD="1"/>
</file>

<file path=xl/ctrlProps/ctrlProp25.xml><?xml version="1.0" encoding="utf-8"?>
<formControlPr xmlns="http://schemas.microsoft.com/office/spreadsheetml/2009/9/main" objectType="CheckBox" checked="Checked" fmlaLink="$L$9" lockText="1" noThreeD="1"/>
</file>

<file path=xl/ctrlProps/ctrlProp26.xml><?xml version="1.0" encoding="utf-8"?>
<formControlPr xmlns="http://schemas.microsoft.com/office/spreadsheetml/2009/9/main" objectType="CheckBox" checked="Checked" fmlaLink="$L$10" lockText="1" noThreeD="1"/>
</file>

<file path=xl/ctrlProps/ctrlProp27.xml><?xml version="1.0" encoding="utf-8"?>
<formControlPr xmlns="http://schemas.microsoft.com/office/spreadsheetml/2009/9/main" objectType="CheckBox" checked="Checked" fmlaLink="$L$11" lockText="1" noThreeD="1"/>
</file>

<file path=xl/ctrlProps/ctrlProp28.xml><?xml version="1.0" encoding="utf-8"?>
<formControlPr xmlns="http://schemas.microsoft.com/office/spreadsheetml/2009/9/main" objectType="CheckBox" fmlaLink="$L$12" lockText="1" noThreeD="1"/>
</file>

<file path=xl/ctrlProps/ctrlProp29.xml><?xml version="1.0" encoding="utf-8"?>
<formControlPr xmlns="http://schemas.microsoft.com/office/spreadsheetml/2009/9/main" objectType="CheckBox" fmlaLink="$L$13" lockText="1" noThreeD="1"/>
</file>

<file path=xl/ctrlProps/ctrlProp30.xml><?xml version="1.0" encoding="utf-8"?>
<formControlPr xmlns="http://schemas.microsoft.com/office/spreadsheetml/2009/9/main" objectType="CheckBox" fmlaLink="$L$14" lockText="1" noThreeD="1"/>
</file>

<file path=xl/ctrlProps/ctrlProp31.xml><?xml version="1.0" encoding="utf-8"?>
<formControlPr xmlns="http://schemas.microsoft.com/office/spreadsheetml/2009/9/main" objectType="CheckBox" fmlaLink="$L$15" lockText="1" noThreeD="1"/>
</file>

<file path=xl/ctrlProps/ctrlProp32.xml><?xml version="1.0" encoding="utf-8"?>
<formControlPr xmlns="http://schemas.microsoft.com/office/spreadsheetml/2009/9/main" objectType="CheckBox" fmlaLink="$L$16" lockText="1" noThreeD="1"/>
</file>

<file path=xl/ctrlProps/ctrlProp33.xml><?xml version="1.0" encoding="utf-8"?>
<formControlPr xmlns="http://schemas.microsoft.com/office/spreadsheetml/2009/9/main" objectType="CheckBox" fmlaLink="$L$17" lockText="1" noThreeD="1"/>
</file>

<file path=xl/ctrlProps/ctrlProp34.xml><?xml version="1.0" encoding="utf-8"?>
<formControlPr xmlns="http://schemas.microsoft.com/office/spreadsheetml/2009/9/main" objectType="CheckBox" fmlaLink="$L$18" lockText="1" noThreeD="1"/>
</file>

<file path=xl/ctrlProps/ctrlProp35.xml><?xml version="1.0" encoding="utf-8"?>
<formControlPr xmlns="http://schemas.microsoft.com/office/spreadsheetml/2009/9/main" objectType="CheckBox" fmlaLink="$L$19" lockText="1" noThreeD="1"/>
</file>

<file path=xl/ctrlProps/ctrlProp36.xml><?xml version="1.0" encoding="utf-8"?>
<formControlPr xmlns="http://schemas.microsoft.com/office/spreadsheetml/2009/9/main" objectType="CheckBox" fmlaLink="$L$20" lockText="1" noThreeD="1"/>
</file>

<file path=xl/ctrlProps/ctrlProp37.xml><?xml version="1.0" encoding="utf-8"?>
<formControlPr xmlns="http://schemas.microsoft.com/office/spreadsheetml/2009/9/main" objectType="CheckBox" fmlaLink="$L$21" lockText="1" noThreeD="1"/>
</file>

<file path=xl/ctrlProps/ctrlProp38.xml><?xml version="1.0" encoding="utf-8"?>
<formControlPr xmlns="http://schemas.microsoft.com/office/spreadsheetml/2009/9/main" objectType="CheckBox" fmlaLink="$L$22" lockText="1" noThreeD="1"/>
</file>

<file path=xl/ctrlProps/ctrlProp39.xml><?xml version="1.0" encoding="utf-8"?>
<formControlPr xmlns="http://schemas.microsoft.com/office/spreadsheetml/2009/9/main" objectType="CheckBox" fmlaLink="$L$23" lockText="1" noThreeD="1"/>
</file>

<file path=xl/ctrlProps/ctrlProp40.xml><?xml version="1.0" encoding="utf-8"?>
<formControlPr xmlns="http://schemas.microsoft.com/office/spreadsheetml/2009/9/main" objectType="CheckBox" fmlaLink="$L$24" lockText="1" noThreeD="1"/>
</file>

<file path=xl/ctrlProps/ctrlProp41.xml><?xml version="1.0" encoding="utf-8"?>
<formControlPr xmlns="http://schemas.microsoft.com/office/spreadsheetml/2009/9/main" objectType="CheckBox" fmlaLink="$L$25" lockText="1" noThreeD="1"/>
</file>

<file path=xl/ctrlProps/ctrlProp42.xml><?xml version="1.0" encoding="utf-8"?>
<formControlPr xmlns="http://schemas.microsoft.com/office/spreadsheetml/2009/9/main" objectType="CheckBox" fmlaLink="$L$26" lockText="1" noThreeD="1"/>
</file>

<file path=xl/ctrlProps/ctrlProp43.xml><?xml version="1.0" encoding="utf-8"?>
<formControlPr xmlns="http://schemas.microsoft.com/office/spreadsheetml/2009/9/main" objectType="CheckBox" fmlaLink="$L$27" lockText="1" noThreeD="1"/>
</file>

<file path=xl/ctrlProps/ctrlProp44.xml><?xml version="1.0" encoding="utf-8"?>
<formControlPr xmlns="http://schemas.microsoft.com/office/spreadsheetml/2009/9/main" objectType="CheckBox" fmlaLink="$L$28" lockText="1" noThreeD="1"/>
</file>

<file path=xl/ctrlProps/ctrlProp45.xml><?xml version="1.0" encoding="utf-8"?>
<formControlPr xmlns="http://schemas.microsoft.com/office/spreadsheetml/2009/9/main" objectType="CheckBox" fmlaLink="$L$29" lockText="1" noThreeD="1"/>
</file>

<file path=xl/ctrlProps/ctrlProp46.xml><?xml version="1.0" encoding="utf-8"?>
<formControlPr xmlns="http://schemas.microsoft.com/office/spreadsheetml/2009/9/main" objectType="CheckBox" fmlaLink="$L$30" lockText="1" noThreeD="1"/>
</file>

<file path=xl/ctrlProps/ctrlProp47.xml><?xml version="1.0" encoding="utf-8"?>
<formControlPr xmlns="http://schemas.microsoft.com/office/spreadsheetml/2009/9/main" objectType="CheckBox" fmlaLink="Activity!$H$9" lockText="1" noThreeD="1"/>
</file>

<file path=xl/ctrlProps/ctrlProp48.xml><?xml version="1.0" encoding="utf-8"?>
<formControlPr xmlns="http://schemas.microsoft.com/office/spreadsheetml/2009/9/main" objectType="CheckBox" fmlaLink="Activity!$I$9" lockText="1" noThreeD="1"/>
</file>

<file path=xl/ctrlProps/ctrlProp49.xml><?xml version="1.0" encoding="utf-8"?>
<formControlPr xmlns="http://schemas.microsoft.com/office/spreadsheetml/2009/9/main" objectType="CheckBox" fmlaLink="Activity!$J$9" lockText="1" noThreeD="1"/>
</file>

<file path=xl/ctrlProps/ctrlProp50.xml><?xml version="1.0" encoding="utf-8"?>
<formControlPr xmlns="http://schemas.microsoft.com/office/spreadsheetml/2009/9/main" objectType="CheckBox" fmlaLink="Activity!$H$10" lockText="1" noThreeD="1"/>
</file>

<file path=xl/ctrlProps/ctrlProp51.xml><?xml version="1.0" encoding="utf-8"?>
<formControlPr xmlns="http://schemas.microsoft.com/office/spreadsheetml/2009/9/main" objectType="CheckBox" fmlaLink="Activity!$I$10" lockText="1" noThreeD="1"/>
</file>

<file path=xl/ctrlProps/ctrlProp52.xml><?xml version="1.0" encoding="utf-8"?>
<formControlPr xmlns="http://schemas.microsoft.com/office/spreadsheetml/2009/9/main" objectType="CheckBox" fmlaLink="Activity!$J$10" lockText="1" noThreeD="1"/>
</file>

<file path=xl/ctrlProps/ctrlProp53.xml><?xml version="1.0" encoding="utf-8"?>
<formControlPr xmlns="http://schemas.microsoft.com/office/spreadsheetml/2009/9/main" objectType="CheckBox" fmlaLink="Activity!$H$11" lockText="1" noThreeD="1"/>
</file>

<file path=xl/ctrlProps/ctrlProp54.xml><?xml version="1.0" encoding="utf-8"?>
<formControlPr xmlns="http://schemas.microsoft.com/office/spreadsheetml/2009/9/main" objectType="CheckBox" fmlaLink="Activity!$I$11" lockText="1" noThreeD="1"/>
</file>

<file path=xl/ctrlProps/ctrlProp55.xml><?xml version="1.0" encoding="utf-8"?>
<formControlPr xmlns="http://schemas.microsoft.com/office/spreadsheetml/2009/9/main" objectType="CheckBox" fmlaLink="Activity!$J$11" lockText="1" noThreeD="1"/>
</file>

<file path=xl/ctrlProps/ctrlProp56.xml><?xml version="1.0" encoding="utf-8"?>
<formControlPr xmlns="http://schemas.microsoft.com/office/spreadsheetml/2009/9/main" objectType="CheckBox" fmlaLink="Activity!$H$12" lockText="1" noThreeD="1"/>
</file>

<file path=xl/ctrlProps/ctrlProp57.xml><?xml version="1.0" encoding="utf-8"?>
<formControlPr xmlns="http://schemas.microsoft.com/office/spreadsheetml/2009/9/main" objectType="CheckBox" fmlaLink="Activity!$I$12" lockText="1" noThreeD="1"/>
</file>

<file path=xl/ctrlProps/ctrlProp58.xml><?xml version="1.0" encoding="utf-8"?>
<formControlPr xmlns="http://schemas.microsoft.com/office/spreadsheetml/2009/9/main" objectType="CheckBox" fmlaLink="Activity!$J$12" lockText="1" noThreeD="1"/>
</file>

<file path=xl/ctrlProps/ctrlProp59.xml><?xml version="1.0" encoding="utf-8"?>
<formControlPr xmlns="http://schemas.microsoft.com/office/spreadsheetml/2009/9/main" objectType="CheckBox" fmlaLink="Activity!$H$13" lockText="1" noThreeD="1"/>
</file>

<file path=xl/ctrlProps/ctrlProp60.xml><?xml version="1.0" encoding="utf-8"?>
<formControlPr xmlns="http://schemas.microsoft.com/office/spreadsheetml/2009/9/main" objectType="CheckBox" fmlaLink="Activity!$I$13" lockText="1" noThreeD="1"/>
</file>

<file path=xl/ctrlProps/ctrlProp61.xml><?xml version="1.0" encoding="utf-8"?>
<formControlPr xmlns="http://schemas.microsoft.com/office/spreadsheetml/2009/9/main" objectType="CheckBox" fmlaLink="Activity!$J$13" lockText="1" noThreeD="1"/>
</file>

<file path=xl/ctrlProps/ctrlProp62.xml><?xml version="1.0" encoding="utf-8"?>
<formControlPr xmlns="http://schemas.microsoft.com/office/spreadsheetml/2009/9/main" objectType="CheckBox" fmlaLink="Activity!$H$14" lockText="1" noThreeD="1"/>
</file>

<file path=xl/ctrlProps/ctrlProp63.xml><?xml version="1.0" encoding="utf-8"?>
<formControlPr xmlns="http://schemas.microsoft.com/office/spreadsheetml/2009/9/main" objectType="CheckBox" fmlaLink="Activity!$I$14" lockText="1" noThreeD="1"/>
</file>

<file path=xl/ctrlProps/ctrlProp64.xml><?xml version="1.0" encoding="utf-8"?>
<formControlPr xmlns="http://schemas.microsoft.com/office/spreadsheetml/2009/9/main" objectType="CheckBox" fmlaLink="Activity!$J$14" lockText="1" noThreeD="1"/>
</file>

<file path=xl/ctrlProps/ctrlProp65.xml><?xml version="1.0" encoding="utf-8"?>
<formControlPr xmlns="http://schemas.microsoft.com/office/spreadsheetml/2009/9/main" objectType="CheckBox" fmlaLink="Activity!$H$15" lockText="1" noThreeD="1"/>
</file>

<file path=xl/ctrlProps/ctrlProp66.xml><?xml version="1.0" encoding="utf-8"?>
<formControlPr xmlns="http://schemas.microsoft.com/office/spreadsheetml/2009/9/main" objectType="CheckBox" fmlaLink="Activity!$I$15" lockText="1" noThreeD="1"/>
</file>

<file path=xl/ctrlProps/ctrlProp67.xml><?xml version="1.0" encoding="utf-8"?>
<formControlPr xmlns="http://schemas.microsoft.com/office/spreadsheetml/2009/9/main" objectType="CheckBox" fmlaLink="Activity!$J$15" lockText="1" noThreeD="1"/>
</file>

<file path=xl/ctrlProps/ctrlProp68.xml><?xml version="1.0" encoding="utf-8"?>
<formControlPr xmlns="http://schemas.microsoft.com/office/spreadsheetml/2009/9/main" objectType="CheckBox" fmlaLink="Activity!$H$16" lockText="1" noThreeD="1"/>
</file>

<file path=xl/ctrlProps/ctrlProp69.xml><?xml version="1.0" encoding="utf-8"?>
<formControlPr xmlns="http://schemas.microsoft.com/office/spreadsheetml/2009/9/main" objectType="CheckBox" fmlaLink="Activity!$I$16" lockText="1" noThreeD="1"/>
</file>

<file path=xl/ctrlProps/ctrlProp70.xml><?xml version="1.0" encoding="utf-8"?>
<formControlPr xmlns="http://schemas.microsoft.com/office/spreadsheetml/2009/9/main" objectType="CheckBox" fmlaLink="Activity!$J$16" lockText="1" noThreeD="1"/>
</file>

<file path=xl/ctrlProps/ctrlProp71.xml><?xml version="1.0" encoding="utf-8"?>
<formControlPr xmlns="http://schemas.microsoft.com/office/spreadsheetml/2009/9/main" objectType="CheckBox" fmlaLink="Activity!$H$17" lockText="1" noThreeD="1"/>
</file>

<file path=xl/ctrlProps/ctrlProp72.xml><?xml version="1.0" encoding="utf-8"?>
<formControlPr xmlns="http://schemas.microsoft.com/office/spreadsheetml/2009/9/main" objectType="CheckBox" fmlaLink="Activity!$I$17" lockText="1" noThreeD="1"/>
</file>

<file path=xl/ctrlProps/ctrlProp73.xml><?xml version="1.0" encoding="utf-8"?>
<formControlPr xmlns="http://schemas.microsoft.com/office/spreadsheetml/2009/9/main" objectType="CheckBox" fmlaLink="Activity!$J$17" lockText="1" noThreeD="1"/>
</file>

<file path=xl/ctrlProps/ctrlProp74.xml><?xml version="1.0" encoding="utf-8"?>
<formControlPr xmlns="http://schemas.microsoft.com/office/spreadsheetml/2009/9/main" objectType="CheckBox" fmlaLink="Activity!$H$18" lockText="1" noThreeD="1"/>
</file>

<file path=xl/ctrlProps/ctrlProp75.xml><?xml version="1.0" encoding="utf-8"?>
<formControlPr xmlns="http://schemas.microsoft.com/office/spreadsheetml/2009/9/main" objectType="CheckBox" fmlaLink="Activity!$I$18" lockText="1" noThreeD="1"/>
</file>

<file path=xl/ctrlProps/ctrlProp76.xml><?xml version="1.0" encoding="utf-8"?>
<formControlPr xmlns="http://schemas.microsoft.com/office/spreadsheetml/2009/9/main" objectType="CheckBox" fmlaLink="Activity!$J$18" lockText="1" noThreeD="1"/>
</file>

<file path=xl/ctrlProps/ctrlProp77.xml><?xml version="1.0" encoding="utf-8"?>
<formControlPr xmlns="http://schemas.microsoft.com/office/spreadsheetml/2009/9/main" objectType="CheckBox" fmlaLink="Activity!$H$19" lockText="1" noThreeD="1"/>
</file>

<file path=xl/ctrlProps/ctrlProp78.xml><?xml version="1.0" encoding="utf-8"?>
<formControlPr xmlns="http://schemas.microsoft.com/office/spreadsheetml/2009/9/main" objectType="CheckBox" fmlaLink="Activity!$I$19" lockText="1" noThreeD="1"/>
</file>

<file path=xl/ctrlProps/ctrlProp79.xml><?xml version="1.0" encoding="utf-8"?>
<formControlPr xmlns="http://schemas.microsoft.com/office/spreadsheetml/2009/9/main" objectType="CheckBox" fmlaLink="Activity!$J$19" lockText="1" noThreeD="1"/>
</file>

<file path=xl/ctrlProps/ctrlProp80.xml><?xml version="1.0" encoding="utf-8"?>
<formControlPr xmlns="http://schemas.microsoft.com/office/spreadsheetml/2009/9/main" objectType="CheckBox" fmlaLink="Activity!$H$20" lockText="1" noThreeD="1"/>
</file>

<file path=xl/ctrlProps/ctrlProp81.xml><?xml version="1.0" encoding="utf-8"?>
<formControlPr xmlns="http://schemas.microsoft.com/office/spreadsheetml/2009/9/main" objectType="CheckBox" fmlaLink="Activity!$I$20" lockText="1" noThreeD="1"/>
</file>

<file path=xl/ctrlProps/ctrlProp82.xml><?xml version="1.0" encoding="utf-8"?>
<formControlPr xmlns="http://schemas.microsoft.com/office/spreadsheetml/2009/9/main" objectType="CheckBox" fmlaLink="Activity!$J$20" lockText="1" noThreeD="1"/>
</file>

<file path=xl/ctrlProps/ctrlProp83.xml><?xml version="1.0" encoding="utf-8"?>
<formControlPr xmlns="http://schemas.microsoft.com/office/spreadsheetml/2009/9/main" objectType="CheckBox" fmlaLink="Activity!$H$21" lockText="1" noThreeD="1"/>
</file>

<file path=xl/ctrlProps/ctrlProp84.xml><?xml version="1.0" encoding="utf-8"?>
<formControlPr xmlns="http://schemas.microsoft.com/office/spreadsheetml/2009/9/main" objectType="CheckBox" fmlaLink="Activity!$I$21" lockText="1" noThreeD="1"/>
</file>

<file path=xl/ctrlProps/ctrlProp85.xml><?xml version="1.0" encoding="utf-8"?>
<formControlPr xmlns="http://schemas.microsoft.com/office/spreadsheetml/2009/9/main" objectType="CheckBox" fmlaLink="Activity!$J$21" lockText="1" noThreeD="1"/>
</file>

<file path=xl/ctrlProps/ctrlProp86.xml><?xml version="1.0" encoding="utf-8"?>
<formControlPr xmlns="http://schemas.microsoft.com/office/spreadsheetml/2009/9/main" objectType="CheckBox" fmlaLink="Activity!$H$22" lockText="1" noThreeD="1"/>
</file>

<file path=xl/ctrlProps/ctrlProp87.xml><?xml version="1.0" encoding="utf-8"?>
<formControlPr xmlns="http://schemas.microsoft.com/office/spreadsheetml/2009/9/main" objectType="CheckBox" fmlaLink="Activity!$I$22" lockText="1" noThreeD="1"/>
</file>

<file path=xl/ctrlProps/ctrlProp88.xml><?xml version="1.0" encoding="utf-8"?>
<formControlPr xmlns="http://schemas.microsoft.com/office/spreadsheetml/2009/9/main" objectType="CheckBox" fmlaLink="Activity!$J$22" lockText="1" noThreeD="1"/>
</file>

<file path=xl/ctrlProps/ctrlProp89.xml><?xml version="1.0" encoding="utf-8"?>
<formControlPr xmlns="http://schemas.microsoft.com/office/spreadsheetml/2009/9/main" objectType="CheckBox" fmlaLink="Activity!$H$23" lockText="1" noThreeD="1"/>
</file>

<file path=xl/ctrlProps/ctrlProp90.xml><?xml version="1.0" encoding="utf-8"?>
<formControlPr xmlns="http://schemas.microsoft.com/office/spreadsheetml/2009/9/main" objectType="CheckBox" fmlaLink="Activity!$I$23" lockText="1" noThreeD="1"/>
</file>

<file path=xl/ctrlProps/ctrlProp91.xml><?xml version="1.0" encoding="utf-8"?>
<formControlPr xmlns="http://schemas.microsoft.com/office/spreadsheetml/2009/9/main" objectType="CheckBox" fmlaLink="Activity!$J$23" lockText="1" noThreeD="1"/>
</file>

<file path=xl/ctrlProps/ctrlProp92.xml><?xml version="1.0" encoding="utf-8"?>
<formControlPr xmlns="http://schemas.microsoft.com/office/spreadsheetml/2009/9/main" objectType="CheckBox" fmlaLink="Activity!$H$24" lockText="1" noThreeD="1"/>
</file>

<file path=xl/ctrlProps/ctrlProp93.xml><?xml version="1.0" encoding="utf-8"?>
<formControlPr xmlns="http://schemas.microsoft.com/office/spreadsheetml/2009/9/main" objectType="CheckBox" fmlaLink="Activity!$I$24" lockText="1" noThreeD="1"/>
</file>

<file path=xl/ctrlProps/ctrlProp94.xml><?xml version="1.0" encoding="utf-8"?>
<formControlPr xmlns="http://schemas.microsoft.com/office/spreadsheetml/2009/9/main" objectType="CheckBox" fmlaLink="Activity!$J$24" lockText="1" noThreeD="1"/>
</file>

<file path=xl/ctrlProps/ctrlProp95.xml><?xml version="1.0" encoding="utf-8"?>
<formControlPr xmlns="http://schemas.microsoft.com/office/spreadsheetml/2009/9/main" objectType="CheckBox" fmlaLink="Activity!$H$25" lockText="1" noThreeD="1"/>
</file>

<file path=xl/ctrlProps/ctrlProp96.xml><?xml version="1.0" encoding="utf-8"?>
<formControlPr xmlns="http://schemas.microsoft.com/office/spreadsheetml/2009/9/main" objectType="CheckBox" fmlaLink="Activity!$I$25" lockText="1" noThreeD="1"/>
</file>

<file path=xl/ctrlProps/ctrlProp97.xml><?xml version="1.0" encoding="utf-8"?>
<formControlPr xmlns="http://schemas.microsoft.com/office/spreadsheetml/2009/9/main" objectType="CheckBox" fmlaLink="Activity!$J$25" lockText="1" noThreeD="1"/>
</file>

<file path=xl/ctrlProps/ctrlProp98.xml><?xml version="1.0" encoding="utf-8"?>
<formControlPr xmlns="http://schemas.microsoft.com/office/spreadsheetml/2009/9/main" objectType="CheckBox" fmlaLink="Activity!$H$26" lockText="1" noThreeD="1"/>
</file>

<file path=xl/ctrlProps/ctrlProp99.xml><?xml version="1.0" encoding="utf-8"?>
<formControlPr xmlns="http://schemas.microsoft.com/office/spreadsheetml/2009/9/main" objectType="CheckBox" fmlaLink="Activity!$I$26" lockText="1" noThreeD="1"/>
</file>

<file path=xl/ctrlProps/ctrlProp100.xml><?xml version="1.0" encoding="utf-8"?>
<formControlPr xmlns="http://schemas.microsoft.com/office/spreadsheetml/2009/9/main" objectType="CheckBox" fmlaLink="Activity!$J$26" lockText="1" noThreeD="1"/>
</file>

<file path=xl/ctrlProps/ctrlProp101.xml><?xml version="1.0" encoding="utf-8"?>
<formControlPr xmlns="http://schemas.microsoft.com/office/spreadsheetml/2009/9/main" objectType="CheckBox" fmlaLink="Activity!$H$27" lockText="1" noThreeD="1"/>
</file>

<file path=xl/ctrlProps/ctrlProp102.xml><?xml version="1.0" encoding="utf-8"?>
<formControlPr xmlns="http://schemas.microsoft.com/office/spreadsheetml/2009/9/main" objectType="CheckBox" fmlaLink="Activity!$I$27" lockText="1" noThreeD="1"/>
</file>

<file path=xl/ctrlProps/ctrlProp103.xml><?xml version="1.0" encoding="utf-8"?>
<formControlPr xmlns="http://schemas.microsoft.com/office/spreadsheetml/2009/9/main" objectType="CheckBox" fmlaLink="Activity!$J$27" lockText="1" noThreeD="1"/>
</file>

<file path=xl/ctrlProps/ctrlProp104.xml><?xml version="1.0" encoding="utf-8"?>
<formControlPr xmlns="http://schemas.microsoft.com/office/spreadsheetml/2009/9/main" objectType="CheckBox" fmlaLink="Activity!$H$28" lockText="1" noThreeD="1"/>
</file>

<file path=xl/ctrlProps/ctrlProp105.xml><?xml version="1.0" encoding="utf-8"?>
<formControlPr xmlns="http://schemas.microsoft.com/office/spreadsheetml/2009/9/main" objectType="CheckBox" fmlaLink="Activity!$I$28" lockText="1" noThreeD="1"/>
</file>

<file path=xl/ctrlProps/ctrlProp106.xml><?xml version="1.0" encoding="utf-8"?>
<formControlPr xmlns="http://schemas.microsoft.com/office/spreadsheetml/2009/9/main" objectType="CheckBox" fmlaLink="Activity!$J$28" lockText="1" noThreeD="1"/>
</file>

<file path=xl/ctrlProps/ctrlProp107.xml><?xml version="1.0" encoding="utf-8"?>
<formControlPr xmlns="http://schemas.microsoft.com/office/spreadsheetml/2009/9/main" objectType="CheckBox" fmlaLink="Activity!$H$29" lockText="1" noThreeD="1"/>
</file>

<file path=xl/ctrlProps/ctrlProp108.xml><?xml version="1.0" encoding="utf-8"?>
<formControlPr xmlns="http://schemas.microsoft.com/office/spreadsheetml/2009/9/main" objectType="CheckBox" fmlaLink="Activity!$I$29" lockText="1" noThreeD="1"/>
</file>

<file path=xl/ctrlProps/ctrlProp109.xml><?xml version="1.0" encoding="utf-8"?>
<formControlPr xmlns="http://schemas.microsoft.com/office/spreadsheetml/2009/9/main" objectType="CheckBox" fmlaLink="Activity!$J$29" lockText="1" noThreeD="1"/>
</file>

<file path=xl/ctrlProps/ctrlProp110.xml><?xml version="1.0" encoding="utf-8"?>
<formControlPr xmlns="http://schemas.microsoft.com/office/spreadsheetml/2009/9/main" objectType="CheckBox" fmlaLink="Activity!$H$30" lockText="1" noThreeD="1"/>
</file>

<file path=xl/ctrlProps/ctrlProp111.xml><?xml version="1.0" encoding="utf-8"?>
<formControlPr xmlns="http://schemas.microsoft.com/office/spreadsheetml/2009/9/main" objectType="CheckBox" fmlaLink="Activity!$I$30" lockText="1" noThreeD="1"/>
</file>

<file path=xl/ctrlProps/ctrlProp112.xml><?xml version="1.0" encoding="utf-8"?>
<formControlPr xmlns="http://schemas.microsoft.com/office/spreadsheetml/2009/9/main" objectType="CheckBox" fmlaLink="Activity!$J$30" lockText="1" noThreeD="1"/>
</file>

<file path=xl/ctrlProps/ctrlProp113.xml><?xml version="1.0" encoding="utf-8"?>
<formControlPr xmlns="http://schemas.microsoft.com/office/spreadsheetml/2009/9/main" objectType="CheckBox" fmlaLink="Activity!$H$32" lockText="1" noThreeD="1"/>
</file>

<file path=xl/ctrlProps/ctrlProp114.xml><?xml version="1.0" encoding="utf-8"?>
<formControlPr xmlns="http://schemas.microsoft.com/office/spreadsheetml/2009/9/main" objectType="CheckBox" fmlaLink="Activity!$I$32" lockText="1" noThreeD="1"/>
</file>

<file path=xl/ctrlProps/ctrlProp115.xml><?xml version="1.0" encoding="utf-8"?>
<formControlPr xmlns="http://schemas.microsoft.com/office/spreadsheetml/2009/9/main" objectType="CheckBox" fmlaLink="Activity!$J$32" lockText="1" noThreeD="1"/>
</file>

<file path=xl/ctrlProps/ctrlProp116.xml><?xml version="1.0" encoding="utf-8"?>
<formControlPr xmlns="http://schemas.microsoft.com/office/spreadsheetml/2009/9/main" objectType="CheckBox" fmlaLink="Activity!$H$33" lockText="1" noThreeD="1"/>
</file>

<file path=xl/ctrlProps/ctrlProp117.xml><?xml version="1.0" encoding="utf-8"?>
<formControlPr xmlns="http://schemas.microsoft.com/office/spreadsheetml/2009/9/main" objectType="CheckBox" fmlaLink="Activity!$I$33" lockText="1" noThreeD="1"/>
</file>

<file path=xl/ctrlProps/ctrlProp118.xml><?xml version="1.0" encoding="utf-8"?>
<formControlPr xmlns="http://schemas.microsoft.com/office/spreadsheetml/2009/9/main" objectType="CheckBox" fmlaLink="Activity!$J$33" lockText="1" noThreeD="1"/>
</file>

<file path=xl/ctrlProps/ctrlProp119.xml><?xml version="1.0" encoding="utf-8"?>
<formControlPr xmlns="http://schemas.microsoft.com/office/spreadsheetml/2009/9/main" objectType="CheckBox" fmlaLink="Activity!$H$34" lockText="1" noThreeD="1"/>
</file>

<file path=xl/ctrlProps/ctrlProp120.xml><?xml version="1.0" encoding="utf-8"?>
<formControlPr xmlns="http://schemas.microsoft.com/office/spreadsheetml/2009/9/main" objectType="CheckBox" fmlaLink="Activity!$I$34" lockText="1" noThreeD="1"/>
</file>

<file path=xl/ctrlProps/ctrlProp121.xml><?xml version="1.0" encoding="utf-8"?>
<formControlPr xmlns="http://schemas.microsoft.com/office/spreadsheetml/2009/9/main" objectType="CheckBox" fmlaLink="Activity!$J$34" lockText="1" noThreeD="1"/>
</file>

<file path=xl/ctrlProps/ctrlProp122.xml><?xml version="1.0" encoding="utf-8"?>
<formControlPr xmlns="http://schemas.microsoft.com/office/spreadsheetml/2009/9/main" objectType="CheckBox" fmlaLink="Activity!$H$35" lockText="1" noThreeD="1"/>
</file>

<file path=xl/ctrlProps/ctrlProp123.xml><?xml version="1.0" encoding="utf-8"?>
<formControlPr xmlns="http://schemas.microsoft.com/office/spreadsheetml/2009/9/main" objectType="CheckBox" fmlaLink="Activity!$I$35" lockText="1" noThreeD="1"/>
</file>

<file path=xl/ctrlProps/ctrlProp124.xml><?xml version="1.0" encoding="utf-8"?>
<formControlPr xmlns="http://schemas.microsoft.com/office/spreadsheetml/2009/9/main" objectType="CheckBox" fmlaLink="Activity!$J$35" lockText="1" noThreeD="1"/>
</file>

<file path=xl/ctrlProps/ctrlProp125.xml><?xml version="1.0" encoding="utf-8"?>
<formControlPr xmlns="http://schemas.microsoft.com/office/spreadsheetml/2009/9/main" objectType="CheckBox" fmlaLink="Activity!$H$36" lockText="1" noThreeD="1"/>
</file>

<file path=xl/ctrlProps/ctrlProp126.xml><?xml version="1.0" encoding="utf-8"?>
<formControlPr xmlns="http://schemas.microsoft.com/office/spreadsheetml/2009/9/main" objectType="CheckBox" fmlaLink="Activity!$I$36" lockText="1" noThreeD="1"/>
</file>

<file path=xl/ctrlProps/ctrlProp127.xml><?xml version="1.0" encoding="utf-8"?>
<formControlPr xmlns="http://schemas.microsoft.com/office/spreadsheetml/2009/9/main" objectType="CheckBox" fmlaLink="Activity!$J$36" lockText="1" noThreeD="1"/>
</file>

<file path=xl/ctrlProps/ctrlProp128.xml><?xml version="1.0" encoding="utf-8"?>
<formControlPr xmlns="http://schemas.microsoft.com/office/spreadsheetml/2009/9/main" objectType="CheckBox" fmlaLink="Activity!$H$37" lockText="1" noThreeD="1"/>
</file>

<file path=xl/ctrlProps/ctrlProp129.xml><?xml version="1.0" encoding="utf-8"?>
<formControlPr xmlns="http://schemas.microsoft.com/office/spreadsheetml/2009/9/main" objectType="CheckBox" fmlaLink="Activity!$I$37" lockText="1" noThreeD="1"/>
</file>

<file path=xl/ctrlProps/ctrlProp130.xml><?xml version="1.0" encoding="utf-8"?>
<formControlPr xmlns="http://schemas.microsoft.com/office/spreadsheetml/2009/9/main" objectType="CheckBox" fmlaLink="Activity!$J$37" lockText="1" noThreeD="1"/>
</file>

<file path=xl/ctrlProps/ctrlProp131.xml><?xml version="1.0" encoding="utf-8"?>
<formControlPr xmlns="http://schemas.microsoft.com/office/spreadsheetml/2009/9/main" objectType="CheckBox" fmlaLink="Activity!$H$38" lockText="1" noThreeD="1"/>
</file>

<file path=xl/ctrlProps/ctrlProp132.xml><?xml version="1.0" encoding="utf-8"?>
<formControlPr xmlns="http://schemas.microsoft.com/office/spreadsheetml/2009/9/main" objectType="CheckBox" fmlaLink="Activity!$I$38" lockText="1" noThreeD="1"/>
</file>

<file path=xl/ctrlProps/ctrlProp133.xml><?xml version="1.0" encoding="utf-8"?>
<formControlPr xmlns="http://schemas.microsoft.com/office/spreadsheetml/2009/9/main" objectType="CheckBox" fmlaLink="Activity!$J$38" lockText="1" noThreeD="1"/>
</file>

<file path=xl/ctrlProps/ctrlProp134.xml><?xml version="1.0" encoding="utf-8"?>
<formControlPr xmlns="http://schemas.microsoft.com/office/spreadsheetml/2009/9/main" objectType="CheckBox" fmlaLink="Activity!$H$39" lockText="1" noThreeD="1"/>
</file>

<file path=xl/ctrlProps/ctrlProp135.xml><?xml version="1.0" encoding="utf-8"?>
<formControlPr xmlns="http://schemas.microsoft.com/office/spreadsheetml/2009/9/main" objectType="CheckBox" fmlaLink="Activity!$I$39" lockText="1" noThreeD="1"/>
</file>

<file path=xl/ctrlProps/ctrlProp136.xml><?xml version="1.0" encoding="utf-8"?>
<formControlPr xmlns="http://schemas.microsoft.com/office/spreadsheetml/2009/9/main" objectType="CheckBox" fmlaLink="Activity!$J$39" lockText="1" noThreeD="1"/>
</file>

<file path=xl/ctrlProps/ctrlProp137.xml><?xml version="1.0" encoding="utf-8"?>
<formControlPr xmlns="http://schemas.microsoft.com/office/spreadsheetml/2009/9/main" objectType="CheckBox" fmlaLink="Activity!$H$40" lockText="1" noThreeD="1"/>
</file>

<file path=xl/ctrlProps/ctrlProp138.xml><?xml version="1.0" encoding="utf-8"?>
<formControlPr xmlns="http://schemas.microsoft.com/office/spreadsheetml/2009/9/main" objectType="CheckBox" fmlaLink="Activity!$I$40" lockText="1" noThreeD="1"/>
</file>

<file path=xl/ctrlProps/ctrlProp139.xml><?xml version="1.0" encoding="utf-8"?>
<formControlPr xmlns="http://schemas.microsoft.com/office/spreadsheetml/2009/9/main" objectType="CheckBox" fmlaLink="Activity!$J$40" lockText="1" noThreeD="1"/>
</file>

<file path=xl/ctrlProps/ctrlProp140.xml><?xml version="1.0" encoding="utf-8"?>
<formControlPr xmlns="http://schemas.microsoft.com/office/spreadsheetml/2009/9/main" objectType="CheckBox" fmlaLink="Activity!$H$41" lockText="1" noThreeD="1"/>
</file>

<file path=xl/ctrlProps/ctrlProp141.xml><?xml version="1.0" encoding="utf-8"?>
<formControlPr xmlns="http://schemas.microsoft.com/office/spreadsheetml/2009/9/main" objectType="CheckBox" fmlaLink="Activity!$I$41" lockText="1" noThreeD="1"/>
</file>

<file path=xl/ctrlProps/ctrlProp142.xml><?xml version="1.0" encoding="utf-8"?>
<formControlPr xmlns="http://schemas.microsoft.com/office/spreadsheetml/2009/9/main" objectType="CheckBox" fmlaLink="Activity!$J$41" lockText="1" noThreeD="1"/>
</file>

<file path=xl/ctrlProps/ctrlProp143.xml><?xml version="1.0" encoding="utf-8"?>
<formControlPr xmlns="http://schemas.microsoft.com/office/spreadsheetml/2009/9/main" objectType="CheckBox" fmlaLink="Activity!$H$42" lockText="1" noThreeD="1"/>
</file>

<file path=xl/ctrlProps/ctrlProp144.xml><?xml version="1.0" encoding="utf-8"?>
<formControlPr xmlns="http://schemas.microsoft.com/office/spreadsheetml/2009/9/main" objectType="CheckBox" fmlaLink="Activity!$I$42" lockText="1" noThreeD="1"/>
</file>

<file path=xl/ctrlProps/ctrlProp145.xml><?xml version="1.0" encoding="utf-8"?>
<formControlPr xmlns="http://schemas.microsoft.com/office/spreadsheetml/2009/9/main" objectType="CheckBox" fmlaLink="Activity!$J$42" lockText="1" noThreeD="1"/>
</file>

<file path=xl/ctrlProps/ctrlProp146.xml><?xml version="1.0" encoding="utf-8"?>
<formControlPr xmlns="http://schemas.microsoft.com/office/spreadsheetml/2009/9/main" objectType="CheckBox" fmlaLink="Activity!$H$43" lockText="1" noThreeD="1"/>
</file>

<file path=xl/ctrlProps/ctrlProp147.xml><?xml version="1.0" encoding="utf-8"?>
<formControlPr xmlns="http://schemas.microsoft.com/office/spreadsheetml/2009/9/main" objectType="CheckBox" fmlaLink="Activity!$I$43" lockText="1" noThreeD="1"/>
</file>

<file path=xl/ctrlProps/ctrlProp148.xml><?xml version="1.0" encoding="utf-8"?>
<formControlPr xmlns="http://schemas.microsoft.com/office/spreadsheetml/2009/9/main" objectType="CheckBox" fmlaLink="Activity!$J$43" lockText="1" noThreeD="1"/>
</file>

<file path=xl/ctrlProps/ctrlProp149.xml><?xml version="1.0" encoding="utf-8"?>
<formControlPr xmlns="http://schemas.microsoft.com/office/spreadsheetml/2009/9/main" objectType="CheckBox" fmlaLink="Activity!$H$44" lockText="1" noThreeD="1"/>
</file>

<file path=xl/ctrlProps/ctrlProp150.xml><?xml version="1.0" encoding="utf-8"?>
<formControlPr xmlns="http://schemas.microsoft.com/office/spreadsheetml/2009/9/main" objectType="CheckBox" fmlaLink="Activity!$I$44" lockText="1" noThreeD="1"/>
</file>

<file path=xl/ctrlProps/ctrlProp151.xml><?xml version="1.0" encoding="utf-8"?>
<formControlPr xmlns="http://schemas.microsoft.com/office/spreadsheetml/2009/9/main" objectType="CheckBox" fmlaLink="Activity!$J$44" lockText="1" noThreeD="1"/>
</file>

<file path=xl/ctrlProps/ctrlProp152.xml><?xml version="1.0" encoding="utf-8"?>
<formControlPr xmlns="http://schemas.microsoft.com/office/spreadsheetml/2009/9/main" objectType="CheckBox" fmlaLink="Activity!$H$45" lockText="1" noThreeD="1"/>
</file>

<file path=xl/ctrlProps/ctrlProp153.xml><?xml version="1.0" encoding="utf-8"?>
<formControlPr xmlns="http://schemas.microsoft.com/office/spreadsheetml/2009/9/main" objectType="CheckBox" fmlaLink="Activity!$I$45" lockText="1" noThreeD="1"/>
</file>

<file path=xl/ctrlProps/ctrlProp154.xml><?xml version="1.0" encoding="utf-8"?>
<formControlPr xmlns="http://schemas.microsoft.com/office/spreadsheetml/2009/9/main" objectType="CheckBox" fmlaLink="Activity!$J$45" lockText="1" noThreeD="1"/>
</file>

<file path=xl/ctrlProps/ctrlProp155.xml><?xml version="1.0" encoding="utf-8"?>
<formControlPr xmlns="http://schemas.microsoft.com/office/spreadsheetml/2009/9/main" objectType="CheckBox" fmlaLink="Activity!$H$46" lockText="1" noThreeD="1"/>
</file>

<file path=xl/ctrlProps/ctrlProp156.xml><?xml version="1.0" encoding="utf-8"?>
<formControlPr xmlns="http://schemas.microsoft.com/office/spreadsheetml/2009/9/main" objectType="CheckBox" fmlaLink="Activity!$I$46" lockText="1" noThreeD="1"/>
</file>

<file path=xl/ctrlProps/ctrlProp157.xml><?xml version="1.0" encoding="utf-8"?>
<formControlPr xmlns="http://schemas.microsoft.com/office/spreadsheetml/2009/9/main" objectType="CheckBox" fmlaLink="Activity!$J$46" lockText="1" noThreeD="1"/>
</file>

<file path=xl/ctrlProps/ctrlProp158.xml><?xml version="1.0" encoding="utf-8"?>
<formControlPr xmlns="http://schemas.microsoft.com/office/spreadsheetml/2009/9/main" objectType="CheckBox" fmlaLink="Activity!$H$47" lockText="1" noThreeD="1"/>
</file>

<file path=xl/ctrlProps/ctrlProp159.xml><?xml version="1.0" encoding="utf-8"?>
<formControlPr xmlns="http://schemas.microsoft.com/office/spreadsheetml/2009/9/main" objectType="CheckBox" fmlaLink="Activity!$I$47" lockText="1" noThreeD="1"/>
</file>

<file path=xl/ctrlProps/ctrlProp160.xml><?xml version="1.0" encoding="utf-8"?>
<formControlPr xmlns="http://schemas.microsoft.com/office/spreadsheetml/2009/9/main" objectType="CheckBox" fmlaLink="Activity!$J$47" lockText="1" noThreeD="1"/>
</file>

<file path=xl/ctrlProps/ctrlProp161.xml><?xml version="1.0" encoding="utf-8"?>
<formControlPr xmlns="http://schemas.microsoft.com/office/spreadsheetml/2009/9/main" objectType="CheckBox" fmlaLink="Activity!$H$48" lockText="1" noThreeD="1"/>
</file>

<file path=xl/ctrlProps/ctrlProp162.xml><?xml version="1.0" encoding="utf-8"?>
<formControlPr xmlns="http://schemas.microsoft.com/office/spreadsheetml/2009/9/main" objectType="CheckBox" fmlaLink="Activity!$I$48" lockText="1" noThreeD="1"/>
</file>

<file path=xl/ctrlProps/ctrlProp163.xml><?xml version="1.0" encoding="utf-8"?>
<formControlPr xmlns="http://schemas.microsoft.com/office/spreadsheetml/2009/9/main" objectType="CheckBox" fmlaLink="Activity!$J$48" lockText="1" noThreeD="1"/>
</file>

<file path=xl/ctrlProps/ctrlProp164.xml><?xml version="1.0" encoding="utf-8"?>
<formControlPr xmlns="http://schemas.microsoft.com/office/spreadsheetml/2009/9/main" objectType="CheckBox" fmlaLink="Activity!$H$49" lockText="1" noThreeD="1"/>
</file>

<file path=xl/ctrlProps/ctrlProp165.xml><?xml version="1.0" encoding="utf-8"?>
<formControlPr xmlns="http://schemas.microsoft.com/office/spreadsheetml/2009/9/main" objectType="CheckBox" fmlaLink="Activity!$I$49" lockText="1" noThreeD="1"/>
</file>

<file path=xl/ctrlProps/ctrlProp166.xml><?xml version="1.0" encoding="utf-8"?>
<formControlPr xmlns="http://schemas.microsoft.com/office/spreadsheetml/2009/9/main" objectType="CheckBox" fmlaLink="Activity!$J$49" lockText="1" noThreeD="1"/>
</file>

<file path=xl/ctrlProps/ctrlProp167.xml><?xml version="1.0" encoding="utf-8"?>
<formControlPr xmlns="http://schemas.microsoft.com/office/spreadsheetml/2009/9/main" objectType="CheckBox" fmlaLink="Activity!$H$50" lockText="1" noThreeD="1"/>
</file>

<file path=xl/ctrlProps/ctrlProp168.xml><?xml version="1.0" encoding="utf-8"?>
<formControlPr xmlns="http://schemas.microsoft.com/office/spreadsheetml/2009/9/main" objectType="CheckBox" fmlaLink="Activity!$I$50" lockText="1" noThreeD="1"/>
</file>

<file path=xl/ctrlProps/ctrlProp169.xml><?xml version="1.0" encoding="utf-8"?>
<formControlPr xmlns="http://schemas.microsoft.com/office/spreadsheetml/2009/9/main" objectType="CheckBox" fmlaLink="Activity!$J$50" lockText="1" noThreeD="1"/>
</file>

<file path=xl/ctrlProps/ctrlProp170.xml><?xml version="1.0" encoding="utf-8"?>
<formControlPr xmlns="http://schemas.microsoft.com/office/spreadsheetml/2009/9/main" objectType="CheckBox" fmlaLink="Activity!$H$51" lockText="1" noThreeD="1"/>
</file>

<file path=xl/ctrlProps/ctrlProp171.xml><?xml version="1.0" encoding="utf-8"?>
<formControlPr xmlns="http://schemas.microsoft.com/office/spreadsheetml/2009/9/main" objectType="CheckBox" fmlaLink="Activity!$I$51" lockText="1" noThreeD="1"/>
</file>

<file path=xl/ctrlProps/ctrlProp172.xml><?xml version="1.0" encoding="utf-8"?>
<formControlPr xmlns="http://schemas.microsoft.com/office/spreadsheetml/2009/9/main" objectType="CheckBox" fmlaLink="Activity!$J$51" lockText="1" noThreeD="1"/>
</file>

<file path=xl/ctrlProps/ctrlProp173.xml><?xml version="1.0" encoding="utf-8"?>
<formControlPr xmlns="http://schemas.microsoft.com/office/spreadsheetml/2009/9/main" objectType="CheckBox" fmlaLink="Activity!$H$52" lockText="1" noThreeD="1"/>
</file>

<file path=xl/ctrlProps/ctrlProp174.xml><?xml version="1.0" encoding="utf-8"?>
<formControlPr xmlns="http://schemas.microsoft.com/office/spreadsheetml/2009/9/main" objectType="CheckBox" fmlaLink="Activity!$I$52" lockText="1" noThreeD="1"/>
</file>

<file path=xl/ctrlProps/ctrlProp175.xml><?xml version="1.0" encoding="utf-8"?>
<formControlPr xmlns="http://schemas.microsoft.com/office/spreadsheetml/2009/9/main" objectType="CheckBox" fmlaLink="Activity!$J$52" lockText="1" noThreeD="1"/>
</file>

<file path=xl/ctrlProps/ctrlProp176.xml><?xml version="1.0" encoding="utf-8"?>
<formControlPr xmlns="http://schemas.microsoft.com/office/spreadsheetml/2009/9/main" objectType="CheckBox" fmlaLink="Activity!$H$53" lockText="1" noThreeD="1"/>
</file>

<file path=xl/ctrlProps/ctrlProp177.xml><?xml version="1.0" encoding="utf-8"?>
<formControlPr xmlns="http://schemas.microsoft.com/office/spreadsheetml/2009/9/main" objectType="CheckBox" fmlaLink="Activity!$I$53" lockText="1" noThreeD="1"/>
</file>

<file path=xl/ctrlProps/ctrlProp178.xml><?xml version="1.0" encoding="utf-8"?>
<formControlPr xmlns="http://schemas.microsoft.com/office/spreadsheetml/2009/9/main" objectType="CheckBox" fmlaLink="Activity!$J$53" lockText="1" noThreeD="1"/>
</file>

<file path=xl/ctrlProps/ctrlProp179.xml><?xml version="1.0" encoding="utf-8"?>
<formControlPr xmlns="http://schemas.microsoft.com/office/spreadsheetml/2009/9/main" objectType="CheckBox" fmlaLink="Activity!$H$54" lockText="1" noThreeD="1"/>
</file>

<file path=xl/ctrlProps/ctrlProp180.xml><?xml version="1.0" encoding="utf-8"?>
<formControlPr xmlns="http://schemas.microsoft.com/office/spreadsheetml/2009/9/main" objectType="CheckBox" fmlaLink="Activity!$I$54" lockText="1" noThreeD="1"/>
</file>

<file path=xl/ctrlProps/ctrlProp181.xml><?xml version="1.0" encoding="utf-8"?>
<formControlPr xmlns="http://schemas.microsoft.com/office/spreadsheetml/2009/9/main" objectType="CheckBox" fmlaLink="Activity!$J$54" lockText="1" noThreeD="1"/>
</file>

<file path=xl/ctrlProps/ctrlProp182.xml><?xml version="1.0" encoding="utf-8"?>
<formControlPr xmlns="http://schemas.microsoft.com/office/spreadsheetml/2009/9/main" objectType="CheckBox" fmlaLink="Activity!$H$55" lockText="1" noThreeD="1"/>
</file>

<file path=xl/ctrlProps/ctrlProp183.xml><?xml version="1.0" encoding="utf-8"?>
<formControlPr xmlns="http://schemas.microsoft.com/office/spreadsheetml/2009/9/main" objectType="CheckBox" fmlaLink="Activity!$I$55" lockText="1" noThreeD="1"/>
</file>

<file path=xl/ctrlProps/ctrlProp184.xml><?xml version="1.0" encoding="utf-8"?>
<formControlPr xmlns="http://schemas.microsoft.com/office/spreadsheetml/2009/9/main" objectType="CheckBox" fmlaLink="Activity!$J$55" lockText="1" noThreeD="1"/>
</file>

<file path=xl/ctrlProps/ctrlProp185.xml><?xml version="1.0" encoding="utf-8"?>
<formControlPr xmlns="http://schemas.microsoft.com/office/spreadsheetml/2009/9/main" objectType="CheckBox" fmlaLink="Activity!$H$56" lockText="1" noThreeD="1"/>
</file>

<file path=xl/ctrlProps/ctrlProp186.xml><?xml version="1.0" encoding="utf-8"?>
<formControlPr xmlns="http://schemas.microsoft.com/office/spreadsheetml/2009/9/main" objectType="CheckBox" fmlaLink="Activity!$I$56" lockText="1" noThreeD="1"/>
</file>

<file path=xl/ctrlProps/ctrlProp187.xml><?xml version="1.0" encoding="utf-8"?>
<formControlPr xmlns="http://schemas.microsoft.com/office/spreadsheetml/2009/9/main" objectType="CheckBox" fmlaLink="Activity!$J$56" lockText="1" noThreeD="1"/>
</file>

<file path=xl/ctrlProps/ctrlProp188.xml><?xml version="1.0" encoding="utf-8"?>
<formControlPr xmlns="http://schemas.microsoft.com/office/spreadsheetml/2009/9/main" objectType="CheckBox" fmlaLink="Activity!$H$57" lockText="1" noThreeD="1"/>
</file>

<file path=xl/ctrlProps/ctrlProp189.xml><?xml version="1.0" encoding="utf-8"?>
<formControlPr xmlns="http://schemas.microsoft.com/office/spreadsheetml/2009/9/main" objectType="CheckBox" fmlaLink="Activity!$I$57" lockText="1" noThreeD="1"/>
</file>

<file path=xl/ctrlProps/ctrlProp190.xml><?xml version="1.0" encoding="utf-8"?>
<formControlPr xmlns="http://schemas.microsoft.com/office/spreadsheetml/2009/9/main" objectType="CheckBox" fmlaLink="Activity!$J$57" lockText="1" noThreeD="1"/>
</file>

<file path=xl/ctrlProps/ctrlProp191.xml><?xml version="1.0" encoding="utf-8"?>
<formControlPr xmlns="http://schemas.microsoft.com/office/spreadsheetml/2009/9/main" objectType="CheckBox" fmlaLink="Activity!$H$59" lockText="1" noThreeD="1"/>
</file>

<file path=xl/ctrlProps/ctrlProp192.xml><?xml version="1.0" encoding="utf-8"?>
<formControlPr xmlns="http://schemas.microsoft.com/office/spreadsheetml/2009/9/main" objectType="CheckBox" fmlaLink="Activity!$I$59" lockText="1" noThreeD="1"/>
</file>

<file path=xl/ctrlProps/ctrlProp193.xml><?xml version="1.0" encoding="utf-8"?>
<formControlPr xmlns="http://schemas.microsoft.com/office/spreadsheetml/2009/9/main" objectType="CheckBox" fmlaLink="Activity!$J$59" lockText="1" noThreeD="1"/>
</file>

<file path=xl/ctrlProps/ctrlProp194.xml><?xml version="1.0" encoding="utf-8"?>
<formControlPr xmlns="http://schemas.microsoft.com/office/spreadsheetml/2009/9/main" objectType="CheckBox" fmlaLink="Activity!$H$60" lockText="1" noThreeD="1"/>
</file>

<file path=xl/ctrlProps/ctrlProp195.xml><?xml version="1.0" encoding="utf-8"?>
<formControlPr xmlns="http://schemas.microsoft.com/office/spreadsheetml/2009/9/main" objectType="CheckBox" fmlaLink="Activity!$I$60" lockText="1" noThreeD="1"/>
</file>

<file path=xl/ctrlProps/ctrlProp196.xml><?xml version="1.0" encoding="utf-8"?>
<formControlPr xmlns="http://schemas.microsoft.com/office/spreadsheetml/2009/9/main" objectType="CheckBox" fmlaLink="Activity!$J$60" lockText="1" noThreeD="1"/>
</file>

<file path=xl/ctrlProps/ctrlProp197.xml><?xml version="1.0" encoding="utf-8"?>
<formControlPr xmlns="http://schemas.microsoft.com/office/spreadsheetml/2009/9/main" objectType="CheckBox" fmlaLink="Activity!$H$61" lockText="1" noThreeD="1"/>
</file>

<file path=xl/ctrlProps/ctrlProp198.xml><?xml version="1.0" encoding="utf-8"?>
<formControlPr xmlns="http://schemas.microsoft.com/office/spreadsheetml/2009/9/main" objectType="CheckBox" fmlaLink="Activity!$I$61" lockText="1" noThreeD="1"/>
</file>

<file path=xl/ctrlProps/ctrlProp199.xml><?xml version="1.0" encoding="utf-8"?>
<formControlPr xmlns="http://schemas.microsoft.com/office/spreadsheetml/2009/9/main" objectType="CheckBox" fmlaLink="Activity!$J$61" lockText="1" noThreeD="1"/>
</file>

<file path=xl/ctrlProps/ctrlProp200.xml><?xml version="1.0" encoding="utf-8"?>
<formControlPr xmlns="http://schemas.microsoft.com/office/spreadsheetml/2009/9/main" objectType="CheckBox" fmlaLink="Activity!$H$62" lockText="1" noThreeD="1"/>
</file>

<file path=xl/ctrlProps/ctrlProp201.xml><?xml version="1.0" encoding="utf-8"?>
<formControlPr xmlns="http://schemas.microsoft.com/office/spreadsheetml/2009/9/main" objectType="CheckBox" fmlaLink="Activity!$I$62" lockText="1" noThreeD="1"/>
</file>

<file path=xl/ctrlProps/ctrlProp202.xml><?xml version="1.0" encoding="utf-8"?>
<formControlPr xmlns="http://schemas.microsoft.com/office/spreadsheetml/2009/9/main" objectType="CheckBox" fmlaLink="Activity!$J$62" lockText="1" noThreeD="1"/>
</file>

<file path=xl/ctrlProps/ctrlProp203.xml><?xml version="1.0" encoding="utf-8"?>
<formControlPr xmlns="http://schemas.microsoft.com/office/spreadsheetml/2009/9/main" objectType="CheckBox" fmlaLink="Activity!$H$63" lockText="1" noThreeD="1"/>
</file>

<file path=xl/ctrlProps/ctrlProp204.xml><?xml version="1.0" encoding="utf-8"?>
<formControlPr xmlns="http://schemas.microsoft.com/office/spreadsheetml/2009/9/main" objectType="CheckBox" fmlaLink="Activity!$I$63" lockText="1" noThreeD="1"/>
</file>

<file path=xl/ctrlProps/ctrlProp205.xml><?xml version="1.0" encoding="utf-8"?>
<formControlPr xmlns="http://schemas.microsoft.com/office/spreadsheetml/2009/9/main" objectType="CheckBox" fmlaLink="Activity!$J$63" lockText="1" noThreeD="1"/>
</file>

<file path=xl/ctrlProps/ctrlProp206.xml><?xml version="1.0" encoding="utf-8"?>
<formControlPr xmlns="http://schemas.microsoft.com/office/spreadsheetml/2009/9/main" objectType="CheckBox" fmlaLink="Activity!$H$64" lockText="1" noThreeD="1"/>
</file>

<file path=xl/ctrlProps/ctrlProp207.xml><?xml version="1.0" encoding="utf-8"?>
<formControlPr xmlns="http://schemas.microsoft.com/office/spreadsheetml/2009/9/main" objectType="CheckBox" fmlaLink="Activity!$I$64" lockText="1" noThreeD="1"/>
</file>

<file path=xl/ctrlProps/ctrlProp208.xml><?xml version="1.0" encoding="utf-8"?>
<formControlPr xmlns="http://schemas.microsoft.com/office/spreadsheetml/2009/9/main" objectType="CheckBox" fmlaLink="Activity!$J$64" lockText="1" noThreeD="1"/>
</file>

<file path=xl/ctrlProps/ctrlProp209.xml><?xml version="1.0" encoding="utf-8"?>
<formControlPr xmlns="http://schemas.microsoft.com/office/spreadsheetml/2009/9/main" objectType="CheckBox" fmlaLink="Activity!$H$65" lockText="1" noThreeD="1"/>
</file>

<file path=xl/ctrlProps/ctrlProp210.xml><?xml version="1.0" encoding="utf-8"?>
<formControlPr xmlns="http://schemas.microsoft.com/office/spreadsheetml/2009/9/main" objectType="CheckBox" fmlaLink="Activity!$I$65" lockText="1" noThreeD="1"/>
</file>

<file path=xl/ctrlProps/ctrlProp211.xml><?xml version="1.0" encoding="utf-8"?>
<formControlPr xmlns="http://schemas.microsoft.com/office/spreadsheetml/2009/9/main" objectType="CheckBox" fmlaLink="Activity!$J$65" lockText="1" noThreeD="1"/>
</file>

<file path=xl/ctrlProps/ctrlProp212.xml><?xml version="1.0" encoding="utf-8"?>
<formControlPr xmlns="http://schemas.microsoft.com/office/spreadsheetml/2009/9/main" objectType="CheckBox" fmlaLink="Activity!$H$66" lockText="1" noThreeD="1"/>
</file>

<file path=xl/ctrlProps/ctrlProp213.xml><?xml version="1.0" encoding="utf-8"?>
<formControlPr xmlns="http://schemas.microsoft.com/office/spreadsheetml/2009/9/main" objectType="CheckBox" fmlaLink="Activity!$I$66" lockText="1" noThreeD="1"/>
</file>

<file path=xl/ctrlProps/ctrlProp214.xml><?xml version="1.0" encoding="utf-8"?>
<formControlPr xmlns="http://schemas.microsoft.com/office/spreadsheetml/2009/9/main" objectType="CheckBox" fmlaLink="Activity!$J$66" lockText="1" noThreeD="1"/>
</file>

<file path=xl/ctrlProps/ctrlProp215.xml><?xml version="1.0" encoding="utf-8"?>
<formControlPr xmlns="http://schemas.microsoft.com/office/spreadsheetml/2009/9/main" objectType="CheckBox" fmlaLink="Activity!$H$67" lockText="1" noThreeD="1"/>
</file>

<file path=xl/ctrlProps/ctrlProp216.xml><?xml version="1.0" encoding="utf-8"?>
<formControlPr xmlns="http://schemas.microsoft.com/office/spreadsheetml/2009/9/main" objectType="CheckBox" fmlaLink="Activity!$I$67" lockText="1" noThreeD="1"/>
</file>

<file path=xl/ctrlProps/ctrlProp217.xml><?xml version="1.0" encoding="utf-8"?>
<formControlPr xmlns="http://schemas.microsoft.com/office/spreadsheetml/2009/9/main" objectType="CheckBox" fmlaLink="Activity!$J$67" lockText="1" noThreeD="1"/>
</file>

<file path=xl/ctrlProps/ctrlProp218.xml><?xml version="1.0" encoding="utf-8"?>
<formControlPr xmlns="http://schemas.microsoft.com/office/spreadsheetml/2009/9/main" objectType="CheckBox" fmlaLink="Activity!$H$68" lockText="1" noThreeD="1"/>
</file>

<file path=xl/ctrlProps/ctrlProp219.xml><?xml version="1.0" encoding="utf-8"?>
<formControlPr xmlns="http://schemas.microsoft.com/office/spreadsheetml/2009/9/main" objectType="CheckBox" fmlaLink="Activity!$I$68" lockText="1" noThreeD="1"/>
</file>

<file path=xl/ctrlProps/ctrlProp220.xml><?xml version="1.0" encoding="utf-8"?>
<formControlPr xmlns="http://schemas.microsoft.com/office/spreadsheetml/2009/9/main" objectType="CheckBox" fmlaLink="Activity!$J$68" lockText="1" noThreeD="1"/>
</file>

<file path=xl/ctrlProps/ctrlProp221.xml><?xml version="1.0" encoding="utf-8"?>
<formControlPr xmlns="http://schemas.microsoft.com/office/spreadsheetml/2009/9/main" objectType="CheckBox" fmlaLink="Activity!$H$69" lockText="1" noThreeD="1"/>
</file>

<file path=xl/ctrlProps/ctrlProp222.xml><?xml version="1.0" encoding="utf-8"?>
<formControlPr xmlns="http://schemas.microsoft.com/office/spreadsheetml/2009/9/main" objectType="CheckBox" fmlaLink="Activity!$I$69" lockText="1" noThreeD="1"/>
</file>

<file path=xl/ctrlProps/ctrlProp223.xml><?xml version="1.0" encoding="utf-8"?>
<formControlPr xmlns="http://schemas.microsoft.com/office/spreadsheetml/2009/9/main" objectType="CheckBox" fmlaLink="Activity!$J$69" lockText="1" noThreeD="1"/>
</file>

<file path=xl/ctrlProps/ctrlProp224.xml><?xml version="1.0" encoding="utf-8"?>
<formControlPr xmlns="http://schemas.microsoft.com/office/spreadsheetml/2009/9/main" objectType="CheckBox" fmlaLink="Activity!$H$70" lockText="1" noThreeD="1"/>
</file>

<file path=xl/ctrlProps/ctrlProp225.xml><?xml version="1.0" encoding="utf-8"?>
<formControlPr xmlns="http://schemas.microsoft.com/office/spreadsheetml/2009/9/main" objectType="CheckBox" fmlaLink="Activity!$I$70" lockText="1" noThreeD="1"/>
</file>

<file path=xl/ctrlProps/ctrlProp226.xml><?xml version="1.0" encoding="utf-8"?>
<formControlPr xmlns="http://schemas.microsoft.com/office/spreadsheetml/2009/9/main" objectType="CheckBox" fmlaLink="Activity!$J$70" lockText="1" noThreeD="1"/>
</file>

<file path=xl/ctrlProps/ctrlProp227.xml><?xml version="1.0" encoding="utf-8"?>
<formControlPr xmlns="http://schemas.microsoft.com/office/spreadsheetml/2009/9/main" objectType="CheckBox" fmlaLink="Activity!$H$71" lockText="1" noThreeD="1"/>
</file>

<file path=xl/ctrlProps/ctrlProp228.xml><?xml version="1.0" encoding="utf-8"?>
<formControlPr xmlns="http://schemas.microsoft.com/office/spreadsheetml/2009/9/main" objectType="CheckBox" fmlaLink="Activity!$I$71" lockText="1" noThreeD="1"/>
</file>

<file path=xl/ctrlProps/ctrlProp229.xml><?xml version="1.0" encoding="utf-8"?>
<formControlPr xmlns="http://schemas.microsoft.com/office/spreadsheetml/2009/9/main" objectType="CheckBox" fmlaLink="Activity!$J$71" lockText="1" noThreeD="1"/>
</file>

<file path=xl/ctrlProps/ctrlProp230.xml><?xml version="1.0" encoding="utf-8"?>
<formControlPr xmlns="http://schemas.microsoft.com/office/spreadsheetml/2009/9/main" objectType="CheckBox" fmlaLink="Activity!$H$72" lockText="1" noThreeD="1"/>
</file>

<file path=xl/ctrlProps/ctrlProp231.xml><?xml version="1.0" encoding="utf-8"?>
<formControlPr xmlns="http://schemas.microsoft.com/office/spreadsheetml/2009/9/main" objectType="CheckBox" fmlaLink="Activity!$I$72" lockText="1" noThreeD="1"/>
</file>

<file path=xl/ctrlProps/ctrlProp232.xml><?xml version="1.0" encoding="utf-8"?>
<formControlPr xmlns="http://schemas.microsoft.com/office/spreadsheetml/2009/9/main" objectType="CheckBox" fmlaLink="Activity!$J$72" lockText="1" noThreeD="1"/>
</file>

<file path=xl/ctrlProps/ctrlProp233.xml><?xml version="1.0" encoding="utf-8"?>
<formControlPr xmlns="http://schemas.microsoft.com/office/spreadsheetml/2009/9/main" objectType="CheckBox" fmlaLink="Activity!$H$73" lockText="1" noThreeD="1"/>
</file>

<file path=xl/ctrlProps/ctrlProp234.xml><?xml version="1.0" encoding="utf-8"?>
<formControlPr xmlns="http://schemas.microsoft.com/office/spreadsheetml/2009/9/main" objectType="CheckBox" fmlaLink="Activity!$I$73" lockText="1" noThreeD="1"/>
</file>

<file path=xl/ctrlProps/ctrlProp235.xml><?xml version="1.0" encoding="utf-8"?>
<formControlPr xmlns="http://schemas.microsoft.com/office/spreadsheetml/2009/9/main" objectType="CheckBox" fmlaLink="Activity!$J$73" lockText="1" noThreeD="1"/>
</file>

<file path=xl/ctrlProps/ctrlProp236.xml><?xml version="1.0" encoding="utf-8"?>
<formControlPr xmlns="http://schemas.microsoft.com/office/spreadsheetml/2009/9/main" objectType="CheckBox" fmlaLink="Activity!$H$74" lockText="1" noThreeD="1"/>
</file>

<file path=xl/ctrlProps/ctrlProp237.xml><?xml version="1.0" encoding="utf-8"?>
<formControlPr xmlns="http://schemas.microsoft.com/office/spreadsheetml/2009/9/main" objectType="CheckBox" fmlaLink="Activity!$I$74" lockText="1" noThreeD="1"/>
</file>

<file path=xl/ctrlProps/ctrlProp238.xml><?xml version="1.0" encoding="utf-8"?>
<formControlPr xmlns="http://schemas.microsoft.com/office/spreadsheetml/2009/9/main" objectType="CheckBox" fmlaLink="Activity!$J$74" lockText="1" noThreeD="1"/>
</file>

<file path=xl/ctrlProps/ctrlProp239.xml><?xml version="1.0" encoding="utf-8"?>
<formControlPr xmlns="http://schemas.microsoft.com/office/spreadsheetml/2009/9/main" objectType="CheckBox" fmlaLink="Activity!$H$75" lockText="1" noThreeD="1"/>
</file>

<file path=xl/ctrlProps/ctrlProp240.xml><?xml version="1.0" encoding="utf-8"?>
<formControlPr xmlns="http://schemas.microsoft.com/office/spreadsheetml/2009/9/main" objectType="CheckBox" fmlaLink="Activity!$I$75" lockText="1" noThreeD="1"/>
</file>

<file path=xl/ctrlProps/ctrlProp241.xml><?xml version="1.0" encoding="utf-8"?>
<formControlPr xmlns="http://schemas.microsoft.com/office/spreadsheetml/2009/9/main" objectType="CheckBox" fmlaLink="Activity!$J$75" lockText="1" noThreeD="1"/>
</file>

<file path=xl/ctrlProps/ctrlProp242.xml><?xml version="1.0" encoding="utf-8"?>
<formControlPr xmlns="http://schemas.microsoft.com/office/spreadsheetml/2009/9/main" objectType="CheckBox" fmlaLink="Activity!$H$76" lockText="1" noThreeD="1"/>
</file>

<file path=xl/ctrlProps/ctrlProp243.xml><?xml version="1.0" encoding="utf-8"?>
<formControlPr xmlns="http://schemas.microsoft.com/office/spreadsheetml/2009/9/main" objectType="CheckBox" fmlaLink="Activity!$I$76" lockText="1" noThreeD="1"/>
</file>

<file path=xl/ctrlProps/ctrlProp244.xml><?xml version="1.0" encoding="utf-8"?>
<formControlPr xmlns="http://schemas.microsoft.com/office/spreadsheetml/2009/9/main" objectType="CheckBox" fmlaLink="Activity!$J$76" lockText="1" noThreeD="1"/>
</file>

<file path=xl/ctrlProps/ctrlProp245.xml><?xml version="1.0" encoding="utf-8"?>
<formControlPr xmlns="http://schemas.microsoft.com/office/spreadsheetml/2009/9/main" objectType="CheckBox" fmlaLink="Activity!$H$77" lockText="1" noThreeD="1"/>
</file>

<file path=xl/ctrlProps/ctrlProp246.xml><?xml version="1.0" encoding="utf-8"?>
<formControlPr xmlns="http://schemas.microsoft.com/office/spreadsheetml/2009/9/main" objectType="CheckBox" fmlaLink="Activity!$I$77" lockText="1" noThreeD="1"/>
</file>

<file path=xl/ctrlProps/ctrlProp247.xml><?xml version="1.0" encoding="utf-8"?>
<formControlPr xmlns="http://schemas.microsoft.com/office/spreadsheetml/2009/9/main" objectType="CheckBox" fmlaLink="Activity!$J$77" lockText="1" noThreeD="1"/>
</file>

<file path=xl/ctrlProps/ctrlProp248.xml><?xml version="1.0" encoding="utf-8"?>
<formControlPr xmlns="http://schemas.microsoft.com/office/spreadsheetml/2009/9/main" objectType="CheckBox" fmlaLink="Activity!$H$78" lockText="1" noThreeD="1"/>
</file>

<file path=xl/ctrlProps/ctrlProp249.xml><?xml version="1.0" encoding="utf-8"?>
<formControlPr xmlns="http://schemas.microsoft.com/office/spreadsheetml/2009/9/main" objectType="CheckBox" fmlaLink="Activity!$I$78" lockText="1" noThreeD="1"/>
</file>

<file path=xl/ctrlProps/ctrlProp250.xml><?xml version="1.0" encoding="utf-8"?>
<formControlPr xmlns="http://schemas.microsoft.com/office/spreadsheetml/2009/9/main" objectType="CheckBox" fmlaLink="Activity!$J$78" lockText="1" noThreeD="1"/>
</file>

<file path=xl/ctrlProps/ctrlProp251.xml><?xml version="1.0" encoding="utf-8"?>
<formControlPr xmlns="http://schemas.microsoft.com/office/spreadsheetml/2009/9/main" objectType="CheckBox" fmlaLink="Activity!$H$79" lockText="1" noThreeD="1"/>
</file>

<file path=xl/ctrlProps/ctrlProp252.xml><?xml version="1.0" encoding="utf-8"?>
<formControlPr xmlns="http://schemas.microsoft.com/office/spreadsheetml/2009/9/main" objectType="CheckBox" fmlaLink="Activity!$I$79" lockText="1" noThreeD="1"/>
</file>

<file path=xl/ctrlProps/ctrlProp253.xml><?xml version="1.0" encoding="utf-8"?>
<formControlPr xmlns="http://schemas.microsoft.com/office/spreadsheetml/2009/9/main" objectType="CheckBox" fmlaLink="Activity!$J$79" lockText="1" noThreeD="1"/>
</file>

<file path=xl/ctrlProps/ctrlProp254.xml><?xml version="1.0" encoding="utf-8"?>
<formControlPr xmlns="http://schemas.microsoft.com/office/spreadsheetml/2009/9/main" objectType="CheckBox" fmlaLink="Activity!$H$80" lockText="1" noThreeD="1"/>
</file>

<file path=xl/ctrlProps/ctrlProp255.xml><?xml version="1.0" encoding="utf-8"?>
<formControlPr xmlns="http://schemas.microsoft.com/office/spreadsheetml/2009/9/main" objectType="CheckBox" fmlaLink="Activity!$I$80" lockText="1" noThreeD="1"/>
</file>

<file path=xl/ctrlProps/ctrlProp256.xml><?xml version="1.0" encoding="utf-8"?>
<formControlPr xmlns="http://schemas.microsoft.com/office/spreadsheetml/2009/9/main" objectType="CheckBox" fmlaLink="Activity!$J$80" lockText="1" noThreeD="1"/>
</file>

<file path=xl/ctrlProps/ctrlProp257.xml><?xml version="1.0" encoding="utf-8"?>
<formControlPr xmlns="http://schemas.microsoft.com/office/spreadsheetml/2009/9/main" objectType="CheckBox" fmlaLink="Activity!$H$81" lockText="1" noThreeD="1"/>
</file>

<file path=xl/ctrlProps/ctrlProp258.xml><?xml version="1.0" encoding="utf-8"?>
<formControlPr xmlns="http://schemas.microsoft.com/office/spreadsheetml/2009/9/main" objectType="CheckBox" fmlaLink="Activity!$I$81" lockText="1" noThreeD="1"/>
</file>

<file path=xl/ctrlProps/ctrlProp259.xml><?xml version="1.0" encoding="utf-8"?>
<formControlPr xmlns="http://schemas.microsoft.com/office/spreadsheetml/2009/9/main" objectType="CheckBox" fmlaLink="Activity!$J$81" lockText="1" noThreeD="1"/>
</file>

<file path=xl/ctrlProps/ctrlProp260.xml><?xml version="1.0" encoding="utf-8"?>
<formControlPr xmlns="http://schemas.microsoft.com/office/spreadsheetml/2009/9/main" objectType="CheckBox" fmlaLink="Activity!$H$82" lockText="1" noThreeD="1"/>
</file>

<file path=xl/ctrlProps/ctrlProp261.xml><?xml version="1.0" encoding="utf-8"?>
<formControlPr xmlns="http://schemas.microsoft.com/office/spreadsheetml/2009/9/main" objectType="CheckBox" fmlaLink="Activity!$I$82" lockText="1" noThreeD="1"/>
</file>

<file path=xl/ctrlProps/ctrlProp262.xml><?xml version="1.0" encoding="utf-8"?>
<formControlPr xmlns="http://schemas.microsoft.com/office/spreadsheetml/2009/9/main" objectType="CheckBox" fmlaLink="Activity!$J$82" lockText="1" noThreeD="1"/>
</file>

<file path=xl/ctrlProps/ctrlProp263.xml><?xml version="1.0" encoding="utf-8"?>
<formControlPr xmlns="http://schemas.microsoft.com/office/spreadsheetml/2009/9/main" objectType="CheckBox" fmlaLink="Activity!$H$83" lockText="1" noThreeD="1"/>
</file>

<file path=xl/ctrlProps/ctrlProp264.xml><?xml version="1.0" encoding="utf-8"?>
<formControlPr xmlns="http://schemas.microsoft.com/office/spreadsheetml/2009/9/main" objectType="CheckBox" fmlaLink="Activity!$I$83" lockText="1" noThreeD="1"/>
</file>

<file path=xl/ctrlProps/ctrlProp265.xml><?xml version="1.0" encoding="utf-8"?>
<formControlPr xmlns="http://schemas.microsoft.com/office/spreadsheetml/2009/9/main" objectType="CheckBox" fmlaLink="Activity!$J$83" lockText="1" noThreeD="1"/>
</file>

<file path=xl/ctrlProps/ctrlProp266.xml><?xml version="1.0" encoding="utf-8"?>
<formControlPr xmlns="http://schemas.microsoft.com/office/spreadsheetml/2009/9/main" objectType="CheckBox" fmlaLink="Activity!$H$84" lockText="1" noThreeD="1"/>
</file>

<file path=xl/ctrlProps/ctrlProp267.xml><?xml version="1.0" encoding="utf-8"?>
<formControlPr xmlns="http://schemas.microsoft.com/office/spreadsheetml/2009/9/main" objectType="CheckBox" fmlaLink="Activity!$I$84" lockText="1" noThreeD="1"/>
</file>

<file path=xl/ctrlProps/ctrlProp268.xml><?xml version="1.0" encoding="utf-8"?>
<formControlPr xmlns="http://schemas.microsoft.com/office/spreadsheetml/2009/9/main" objectType="CheckBox" fmlaLink="Activity!$J$84" lockText="1" noThreeD="1"/>
</file>

<file path=xl/ctrlProps/ctrlProp269.xml><?xml version="1.0" encoding="utf-8"?>
<formControlPr xmlns="http://schemas.microsoft.com/office/spreadsheetml/2009/9/main" objectType="CheckBox" fmlaLink="Activity!$H$85" lockText="1" noThreeD="1"/>
</file>

<file path=xl/ctrlProps/ctrlProp270.xml><?xml version="1.0" encoding="utf-8"?>
<formControlPr xmlns="http://schemas.microsoft.com/office/spreadsheetml/2009/9/main" objectType="CheckBox" fmlaLink="Activity!$I$85" lockText="1" noThreeD="1"/>
</file>

<file path=xl/ctrlProps/ctrlProp271.xml><?xml version="1.0" encoding="utf-8"?>
<formControlPr xmlns="http://schemas.microsoft.com/office/spreadsheetml/2009/9/main" objectType="CheckBox" fmlaLink="Activity!$J$85" lockText="1" noThreeD="1"/>
</file>

<file path=xl/ctrlProps/ctrlProp272.xml><?xml version="1.0" encoding="utf-8"?>
<formControlPr xmlns="http://schemas.microsoft.com/office/spreadsheetml/2009/9/main" objectType="CheckBox" fmlaLink="Activity!$H$86" lockText="1" noThreeD="1"/>
</file>

<file path=xl/ctrlProps/ctrlProp273.xml><?xml version="1.0" encoding="utf-8"?>
<formControlPr xmlns="http://schemas.microsoft.com/office/spreadsheetml/2009/9/main" objectType="CheckBox" fmlaLink="Activity!$I$86" lockText="1" noThreeD="1"/>
</file>

<file path=xl/ctrlProps/ctrlProp274.xml><?xml version="1.0" encoding="utf-8"?>
<formControlPr xmlns="http://schemas.microsoft.com/office/spreadsheetml/2009/9/main" objectType="CheckBox" fmlaLink="Activity!$J$86" lockText="1" noThreeD="1"/>
</file>

<file path=xl/ctrlProps/ctrlProp275.xml><?xml version="1.0" encoding="utf-8"?>
<formControlPr xmlns="http://schemas.microsoft.com/office/spreadsheetml/2009/9/main" objectType="CheckBox" fmlaLink="Activity!$H$87" lockText="1" noThreeD="1"/>
</file>

<file path=xl/ctrlProps/ctrlProp276.xml><?xml version="1.0" encoding="utf-8"?>
<formControlPr xmlns="http://schemas.microsoft.com/office/spreadsheetml/2009/9/main" objectType="CheckBox" fmlaLink="Activity!$I$87" lockText="1" noThreeD="1"/>
</file>

<file path=xl/ctrlProps/ctrlProp277.xml><?xml version="1.0" encoding="utf-8"?>
<formControlPr xmlns="http://schemas.microsoft.com/office/spreadsheetml/2009/9/main" objectType="CheckBox" fmlaLink="Activity!$J$87" lockText="1" noThreeD="1"/>
</file>

<file path=xl/ctrlProps/ctrlProp278.xml><?xml version="1.0" encoding="utf-8"?>
<formControlPr xmlns="http://schemas.microsoft.com/office/spreadsheetml/2009/9/main" objectType="CheckBox" fmlaLink="Activity!$H$88" lockText="1" noThreeD="1"/>
</file>

<file path=xl/ctrlProps/ctrlProp279.xml><?xml version="1.0" encoding="utf-8"?>
<formControlPr xmlns="http://schemas.microsoft.com/office/spreadsheetml/2009/9/main" objectType="CheckBox" fmlaLink="Activity!$I$88" lockText="1" noThreeD="1"/>
</file>

<file path=xl/ctrlProps/ctrlProp280.xml><?xml version="1.0" encoding="utf-8"?>
<formControlPr xmlns="http://schemas.microsoft.com/office/spreadsheetml/2009/9/main" objectType="CheckBox" fmlaLink="Activity!$J$88" lockText="1" noThreeD="1"/>
</file>

<file path=xl/ctrlProps/ctrlProp281.xml><?xml version="1.0" encoding="utf-8"?>
<formControlPr xmlns="http://schemas.microsoft.com/office/spreadsheetml/2009/9/main" objectType="CheckBox" fmlaLink="Activity!$H$89" lockText="1" noThreeD="1"/>
</file>

<file path=xl/ctrlProps/ctrlProp282.xml><?xml version="1.0" encoding="utf-8"?>
<formControlPr xmlns="http://schemas.microsoft.com/office/spreadsheetml/2009/9/main" objectType="CheckBox" fmlaLink="Activity!$I$89" lockText="1" noThreeD="1"/>
</file>

<file path=xl/ctrlProps/ctrlProp283.xml><?xml version="1.0" encoding="utf-8"?>
<formControlPr xmlns="http://schemas.microsoft.com/office/spreadsheetml/2009/9/main" objectType="CheckBox" fmlaLink="Activity!$J$89" lockText="1" noThreeD="1"/>
</file>

<file path=xl/ctrlProps/ctrlProp284.xml><?xml version="1.0" encoding="utf-8"?>
<formControlPr xmlns="http://schemas.microsoft.com/office/spreadsheetml/2009/9/main" objectType="CheckBox" fmlaLink="Activity!#REF!" lockText="1" noThreeD="1"/>
</file>

<file path=xl/ctrlProps/ctrlProp285.xml><?xml version="1.0" encoding="utf-8"?>
<formControlPr xmlns="http://schemas.microsoft.com/office/spreadsheetml/2009/9/main" objectType="CheckBox" fmlaLink="Activity!#REF!" lockText="1" noThreeD="1"/>
</file>

<file path=xl/ctrlProps/ctrlProp286.xml><?xml version="1.0" encoding="utf-8"?>
<formControlPr xmlns="http://schemas.microsoft.com/office/spreadsheetml/2009/9/main" objectType="CheckBox" fmlaLink="Activity!#REF!" lockText="1" noThreeD="1"/>
</file>

<file path=xl/ctrlProps/ctrlProp287.xml><?xml version="1.0" encoding="utf-8"?>
<formControlPr xmlns="http://schemas.microsoft.com/office/spreadsheetml/2009/9/main" objectType="CheckBox" fmlaLink="Activity!#REF!" lockText="1" noThreeD="1"/>
</file>

<file path=xl/ctrlProps/ctrlProp288.xml><?xml version="1.0" encoding="utf-8"?>
<formControlPr xmlns="http://schemas.microsoft.com/office/spreadsheetml/2009/9/main" objectType="CheckBox" fmlaLink="Activity!#REF!" lockText="1" noThreeD="1"/>
</file>

<file path=xl/ctrlProps/ctrlProp289.xml><?xml version="1.0" encoding="utf-8"?>
<formControlPr xmlns="http://schemas.microsoft.com/office/spreadsheetml/2009/9/main" objectType="CheckBox" fmlaLink="Activity!#REF!" lockText="1" noThreeD="1"/>
</file>

<file path=xl/ctrlProps/ctrlProp290.xml><?xml version="1.0" encoding="utf-8"?>
<formControlPr xmlns="http://schemas.microsoft.com/office/spreadsheetml/2009/9/main" objectType="CheckBox" fmlaLink="Activity!#REF!" lockText="1" noThreeD="1"/>
</file>

<file path=xl/ctrlProps/ctrlProp291.xml><?xml version="1.0" encoding="utf-8"?>
<formControlPr xmlns="http://schemas.microsoft.com/office/spreadsheetml/2009/9/main" objectType="CheckBox" fmlaLink="Activity!#REF!" lockText="1" noThreeD="1"/>
</file>

<file path=xl/ctrlProps/ctrlProp292.xml><?xml version="1.0" encoding="utf-8"?>
<formControlPr xmlns="http://schemas.microsoft.com/office/spreadsheetml/2009/9/main" objectType="CheckBox" fmlaLink="Activity!#REF!" lockText="1" noThreeD="1"/>
</file>

<file path=xl/ctrlProps/ctrlProp293.xml><?xml version="1.0" encoding="utf-8"?>
<formControlPr xmlns="http://schemas.microsoft.com/office/spreadsheetml/2009/9/main" objectType="CheckBox" fmlaLink="Activity!#REF!" lockText="1" noThreeD="1"/>
</file>

<file path=xl/ctrlProps/ctrlProp294.xml><?xml version="1.0" encoding="utf-8"?>
<formControlPr xmlns="http://schemas.microsoft.com/office/spreadsheetml/2009/9/main" objectType="CheckBox" fmlaLink="Activity!#REF!" lockText="1" noThreeD="1"/>
</file>

<file path=xl/ctrlProps/ctrlProp295.xml><?xml version="1.0" encoding="utf-8"?>
<formControlPr xmlns="http://schemas.microsoft.com/office/spreadsheetml/2009/9/main" objectType="CheckBox" fmlaLink="Activity!#REF!" lockText="1" noThreeD="1"/>
</file>

<file path=xl/ctrlProps/ctrlProp296.xml><?xml version="1.0" encoding="utf-8"?>
<formControlPr xmlns="http://schemas.microsoft.com/office/spreadsheetml/2009/9/main" objectType="CheckBox" fmlaLink="Activity!#REF!" lockText="1" noThreeD="1"/>
</file>

<file path=xl/ctrlProps/ctrlProp297.xml><?xml version="1.0" encoding="utf-8"?>
<formControlPr xmlns="http://schemas.microsoft.com/office/spreadsheetml/2009/9/main" objectType="CheckBox" fmlaLink="Activity!#REF!" lockText="1" noThreeD="1"/>
</file>

<file path=xl/ctrlProps/ctrlProp298.xml><?xml version="1.0" encoding="utf-8"?>
<formControlPr xmlns="http://schemas.microsoft.com/office/spreadsheetml/2009/9/main" objectType="CheckBox" fmlaLink="Activity!#REF!" lockText="1" noThreeD="1"/>
</file>

<file path=xl/ctrlProps/ctrlProp299.xml><?xml version="1.0" encoding="utf-8"?>
<formControlPr xmlns="http://schemas.microsoft.com/office/spreadsheetml/2009/9/main" objectType="CheckBox" fmlaLink="Activity!#REF!" lockText="1" noThreeD="1"/>
</file>

<file path=xl/ctrlProps/ctrlProp300.xml><?xml version="1.0" encoding="utf-8"?>
<formControlPr xmlns="http://schemas.microsoft.com/office/spreadsheetml/2009/9/main" objectType="CheckBox" fmlaLink="Activity!#REF!" lockText="1" noThreeD="1"/>
</file>

<file path=xl/ctrlProps/ctrlProp301.xml><?xml version="1.0" encoding="utf-8"?>
<formControlPr xmlns="http://schemas.microsoft.com/office/spreadsheetml/2009/9/main" objectType="CheckBox" fmlaLink="Activity!#REF!" lockText="1" noThreeD="1"/>
</file>

<file path=xl/ctrlProps/ctrlProp302.xml><?xml version="1.0" encoding="utf-8"?>
<formControlPr xmlns="http://schemas.microsoft.com/office/spreadsheetml/2009/9/main" objectType="CheckBox" fmlaLink="Activity!#REF!" lockText="1" noThreeD="1"/>
</file>

<file path=xl/ctrlProps/ctrlProp303.xml><?xml version="1.0" encoding="utf-8"?>
<formControlPr xmlns="http://schemas.microsoft.com/office/spreadsheetml/2009/9/main" objectType="CheckBox" fmlaLink="Activity!#REF!" lockText="1" noThreeD="1"/>
</file>

<file path=xl/ctrlProps/ctrlProp304.xml><?xml version="1.0" encoding="utf-8"?>
<formControlPr xmlns="http://schemas.microsoft.com/office/spreadsheetml/2009/9/main" objectType="CheckBox" fmlaLink="Activity!#REF!" lockText="1" noThreeD="1"/>
</file>

<file path=xl/ctrlProps/ctrlProp305.xml><?xml version="1.0" encoding="utf-8"?>
<formControlPr xmlns="http://schemas.microsoft.com/office/spreadsheetml/2009/9/main" objectType="CheckBox" fmlaLink="Activity!#REF!" lockText="1" noThreeD="1"/>
</file>

<file path=xl/ctrlProps/ctrlProp306.xml><?xml version="1.0" encoding="utf-8"?>
<formControlPr xmlns="http://schemas.microsoft.com/office/spreadsheetml/2009/9/main" objectType="CheckBox" fmlaLink="Activity!#REF!" lockText="1" noThreeD="1"/>
</file>

<file path=xl/ctrlProps/ctrlProp307.xml><?xml version="1.0" encoding="utf-8"?>
<formControlPr xmlns="http://schemas.microsoft.com/office/spreadsheetml/2009/9/main" objectType="CheckBox" fmlaLink="Activity!#REF!" lockText="1" noThreeD="1"/>
</file>

<file path=xl/ctrlProps/ctrlProp308.xml><?xml version="1.0" encoding="utf-8"?>
<formControlPr xmlns="http://schemas.microsoft.com/office/spreadsheetml/2009/9/main" objectType="CheckBox" fmlaLink="Activity!#REF!" lockText="1" noThreeD="1"/>
</file>

<file path=xl/ctrlProps/ctrlProp309.xml><?xml version="1.0" encoding="utf-8"?>
<formControlPr xmlns="http://schemas.microsoft.com/office/spreadsheetml/2009/9/main" objectType="CheckBox" fmlaLink="Activity!#REF!" lockText="1" noThreeD="1"/>
</file>

<file path=xl/ctrlProps/ctrlProp310.xml><?xml version="1.0" encoding="utf-8"?>
<formControlPr xmlns="http://schemas.microsoft.com/office/spreadsheetml/2009/9/main" objectType="CheckBox" fmlaLink="Activity!#REF!" lockText="1" noThreeD="1"/>
</file>

<file path=xl/ctrlProps/ctrlProp311.xml><?xml version="1.0" encoding="utf-8"?>
<formControlPr xmlns="http://schemas.microsoft.com/office/spreadsheetml/2009/9/main" objectType="CheckBox" fmlaLink="Activity!#REF!" lockText="1" noThreeD="1"/>
</file>

<file path=xl/ctrlProps/ctrlProp312.xml><?xml version="1.0" encoding="utf-8"?>
<formControlPr xmlns="http://schemas.microsoft.com/office/spreadsheetml/2009/9/main" objectType="CheckBox" fmlaLink="Activity!#REF!" lockText="1" noThreeD="1"/>
</file>

<file path=xl/ctrlProps/ctrlProp313.xml><?xml version="1.0" encoding="utf-8"?>
<formControlPr xmlns="http://schemas.microsoft.com/office/spreadsheetml/2009/9/main" objectType="CheckBox" fmlaLink="Activity!#REF!" lockText="1" noThreeD="1"/>
</file>

<file path=xl/ctrlProps/ctrlProp314.xml><?xml version="1.0" encoding="utf-8"?>
<formControlPr xmlns="http://schemas.microsoft.com/office/spreadsheetml/2009/9/main" objectType="CheckBox" fmlaLink="Activity!#REF!" lockText="1" noThreeD="1"/>
</file>

<file path=xl/ctrlProps/ctrlProp315.xml><?xml version="1.0" encoding="utf-8"?>
<formControlPr xmlns="http://schemas.microsoft.com/office/spreadsheetml/2009/9/main" objectType="CheckBox" fmlaLink="Activity!#REF!" lockText="1" noThreeD="1"/>
</file>

<file path=xl/ctrlProps/ctrlProp316.xml><?xml version="1.0" encoding="utf-8"?>
<formControlPr xmlns="http://schemas.microsoft.com/office/spreadsheetml/2009/9/main" objectType="CheckBox" fmlaLink="Activity!#REF!" lockText="1" noThreeD="1"/>
</file>

<file path=xl/ctrlProps/ctrlProp317.xml><?xml version="1.0" encoding="utf-8"?>
<formControlPr xmlns="http://schemas.microsoft.com/office/spreadsheetml/2009/9/main" objectType="CheckBox" fmlaLink="Activity!#REF!" lockText="1" noThreeD="1"/>
</file>

<file path=xl/ctrlProps/ctrlProp318.xml><?xml version="1.0" encoding="utf-8"?>
<formControlPr xmlns="http://schemas.microsoft.com/office/spreadsheetml/2009/9/main" objectType="CheckBox" fmlaLink="Activity!#REF!" lockText="1" noThreeD="1"/>
</file>

<file path=xl/ctrlProps/ctrlProp319.xml><?xml version="1.0" encoding="utf-8"?>
<formControlPr xmlns="http://schemas.microsoft.com/office/spreadsheetml/2009/9/main" objectType="CheckBox" fmlaLink="Activity!#REF!" lockText="1" noThreeD="1"/>
</file>

<file path=xl/ctrlProps/ctrlProp320.xml><?xml version="1.0" encoding="utf-8"?>
<formControlPr xmlns="http://schemas.microsoft.com/office/spreadsheetml/2009/9/main" objectType="CheckBox" fmlaLink="Activity!#REF!" lockText="1" noThreeD="1"/>
</file>

<file path=xl/ctrlProps/ctrlProp321.xml><?xml version="1.0" encoding="utf-8"?>
<formControlPr xmlns="http://schemas.microsoft.com/office/spreadsheetml/2009/9/main" objectType="CheckBox" fmlaLink="Activity!#REF!" lockText="1" noThreeD="1"/>
</file>

<file path=xl/ctrlProps/ctrlProp322.xml><?xml version="1.0" encoding="utf-8"?>
<formControlPr xmlns="http://schemas.microsoft.com/office/spreadsheetml/2009/9/main" objectType="CheckBox" fmlaLink="Activity!#REF!" lockText="1" noThreeD="1"/>
</file>

<file path=xl/ctrlProps/ctrlProp323.xml><?xml version="1.0" encoding="utf-8"?>
<formControlPr xmlns="http://schemas.microsoft.com/office/spreadsheetml/2009/9/main" objectType="CheckBox" fmlaLink="Activity!#REF!" lockText="1" noThreeD="1"/>
</file>

<file path=xl/ctrlProps/ctrlProp324.xml><?xml version="1.0" encoding="utf-8"?>
<formControlPr xmlns="http://schemas.microsoft.com/office/spreadsheetml/2009/9/main" objectType="CheckBox" fmlaLink="Activity!#REF!" lockText="1" noThreeD="1"/>
</file>

<file path=xl/ctrlProps/ctrlProp325.xml><?xml version="1.0" encoding="utf-8"?>
<formControlPr xmlns="http://schemas.microsoft.com/office/spreadsheetml/2009/9/main" objectType="CheckBox" fmlaLink="Activity!#REF!" lockText="1" noThreeD="1"/>
</file>

<file path=xl/ctrlProps/ctrlProp326.xml><?xml version="1.0" encoding="utf-8"?>
<formControlPr xmlns="http://schemas.microsoft.com/office/spreadsheetml/2009/9/main" objectType="CheckBox" fmlaLink="Activity!#REF!" lockText="1" noThreeD="1"/>
</file>

<file path=xl/ctrlProps/ctrlProp327.xml><?xml version="1.0" encoding="utf-8"?>
<formControlPr xmlns="http://schemas.microsoft.com/office/spreadsheetml/2009/9/main" objectType="CheckBox" fmlaLink="Activity!#REF!" lockText="1" noThreeD="1"/>
</file>

<file path=xl/ctrlProps/ctrlProp328.xml><?xml version="1.0" encoding="utf-8"?>
<formControlPr xmlns="http://schemas.microsoft.com/office/spreadsheetml/2009/9/main" objectType="CheckBox" fmlaLink="Activity!#REF!" lockText="1" noThreeD="1"/>
</file>

<file path=xl/ctrlProps/ctrlProp329.xml><?xml version="1.0" encoding="utf-8"?>
<formControlPr xmlns="http://schemas.microsoft.com/office/spreadsheetml/2009/9/main" objectType="CheckBox" fmlaLink="Activity!#REF!" lockText="1" noThreeD="1"/>
</file>

<file path=xl/ctrlProps/ctrlProp330.xml><?xml version="1.0" encoding="utf-8"?>
<formControlPr xmlns="http://schemas.microsoft.com/office/spreadsheetml/2009/9/main" objectType="CheckBox" fmlaLink="Activity!#REF!" lockText="1" noThreeD="1"/>
</file>

<file path=xl/ctrlProps/ctrlProp331.xml><?xml version="1.0" encoding="utf-8"?>
<formControlPr xmlns="http://schemas.microsoft.com/office/spreadsheetml/2009/9/main" objectType="CheckBox" fmlaLink="Activity!#REF!" lockText="1" noThreeD="1"/>
</file>

<file path=xl/ctrlProps/ctrlProp332.xml><?xml version="1.0" encoding="utf-8"?>
<formControlPr xmlns="http://schemas.microsoft.com/office/spreadsheetml/2009/9/main" objectType="CheckBox" fmlaLink="Activity!#REF!" lockText="1" noThreeD="1"/>
</file>

<file path=xl/ctrlProps/ctrlProp333.xml><?xml version="1.0" encoding="utf-8"?>
<formControlPr xmlns="http://schemas.microsoft.com/office/spreadsheetml/2009/9/main" objectType="CheckBox" fmlaLink="Activity!#REF!" lockText="1" noThreeD="1"/>
</file>

<file path=xl/ctrlProps/ctrlProp334.xml><?xml version="1.0" encoding="utf-8"?>
<formControlPr xmlns="http://schemas.microsoft.com/office/spreadsheetml/2009/9/main" objectType="CheckBox" fmlaLink="Activity!#REF!" lockText="1" noThreeD="1"/>
</file>

<file path=xl/ctrlProps/ctrlProp335.xml><?xml version="1.0" encoding="utf-8"?>
<formControlPr xmlns="http://schemas.microsoft.com/office/spreadsheetml/2009/9/main" objectType="CheckBox" fmlaLink="Activity!#REF!" lockText="1" noThreeD="1"/>
</file>

<file path=xl/ctrlProps/ctrlProp336.xml><?xml version="1.0" encoding="utf-8"?>
<formControlPr xmlns="http://schemas.microsoft.com/office/spreadsheetml/2009/9/main" objectType="CheckBox" fmlaLink="Activity!#REF!" lockText="1" noThreeD="1"/>
</file>

<file path=xl/ctrlProps/ctrlProp337.xml><?xml version="1.0" encoding="utf-8"?>
<formControlPr xmlns="http://schemas.microsoft.com/office/spreadsheetml/2009/9/main" objectType="CheckBox" fmlaLink="Activity!#REF!" lockText="1" noThreeD="1"/>
</file>

<file path=xl/ctrlProps/ctrlProp338.xml><?xml version="1.0" encoding="utf-8"?>
<formControlPr xmlns="http://schemas.microsoft.com/office/spreadsheetml/2009/9/main" objectType="CheckBox" fmlaLink="Activity!#REF!" lockText="1" noThreeD="1"/>
</file>

<file path=xl/ctrlProps/ctrlProp339.xml><?xml version="1.0" encoding="utf-8"?>
<formControlPr xmlns="http://schemas.microsoft.com/office/spreadsheetml/2009/9/main" objectType="CheckBox" fmlaLink="Activity!#REF!" lockText="1" noThreeD="1"/>
</file>

<file path=xl/ctrlProps/ctrlProp340.xml><?xml version="1.0" encoding="utf-8"?>
<formControlPr xmlns="http://schemas.microsoft.com/office/spreadsheetml/2009/9/main" objectType="CheckBox" fmlaLink="Activity!#REF!" lockText="1" noThreeD="1"/>
</file>

<file path=xl/ctrlProps/ctrlProp341.xml><?xml version="1.0" encoding="utf-8"?>
<formControlPr xmlns="http://schemas.microsoft.com/office/spreadsheetml/2009/9/main" objectType="CheckBox" fmlaLink="Activity!#REF!" lockText="1" noThreeD="1"/>
</file>

<file path=xl/ctrlProps/ctrlProp342.xml><?xml version="1.0" encoding="utf-8"?>
<formControlPr xmlns="http://schemas.microsoft.com/office/spreadsheetml/2009/9/main" objectType="CheckBox" fmlaLink="Activity!#REF!" lockText="1" noThreeD="1"/>
</file>

<file path=xl/ctrlProps/ctrlProp343.xml><?xml version="1.0" encoding="utf-8"?>
<formControlPr xmlns="http://schemas.microsoft.com/office/spreadsheetml/2009/9/main" objectType="CheckBox" fmlaLink="Activity!#REF!" lockText="1" noThreeD="1"/>
</file>

<file path=xl/ctrlProps/ctrlProp344.xml><?xml version="1.0" encoding="utf-8"?>
<formControlPr xmlns="http://schemas.microsoft.com/office/spreadsheetml/2009/9/main" objectType="CheckBox" fmlaLink="Activity!#REF!" lockText="1" noThreeD="1"/>
</file>

<file path=xl/ctrlProps/ctrlProp345.xml><?xml version="1.0" encoding="utf-8"?>
<formControlPr xmlns="http://schemas.microsoft.com/office/spreadsheetml/2009/9/main" objectType="CheckBox" fmlaLink="Activity!#REF!" lockText="1" noThreeD="1"/>
</file>

<file path=xl/ctrlProps/ctrlProp346.xml><?xml version="1.0" encoding="utf-8"?>
<formControlPr xmlns="http://schemas.microsoft.com/office/spreadsheetml/2009/9/main" objectType="CheckBox" fmlaLink="Activity!#REF!" lockText="1" noThreeD="1"/>
</file>

<file path=xl/ctrlProps/ctrlProp347.xml><?xml version="1.0" encoding="utf-8"?>
<formControlPr xmlns="http://schemas.microsoft.com/office/spreadsheetml/2009/9/main" objectType="CheckBox" fmlaLink="Activity!#REF!" lockText="1" noThreeD="1"/>
</file>

<file path=xl/ctrlProps/ctrlProp348.xml><?xml version="1.0" encoding="utf-8"?>
<formControlPr xmlns="http://schemas.microsoft.com/office/spreadsheetml/2009/9/main" objectType="CheckBox" fmlaLink="Activity!#REF!" lockText="1" noThreeD="1"/>
</file>

<file path=xl/ctrlProps/ctrlProp349.xml><?xml version="1.0" encoding="utf-8"?>
<formControlPr xmlns="http://schemas.microsoft.com/office/spreadsheetml/2009/9/main" objectType="CheckBox" fmlaLink="Activity!#REF!" lockText="1" noThreeD="1"/>
</file>

<file path=xl/ctrlProps/ctrlProp350.xml><?xml version="1.0" encoding="utf-8"?>
<formControlPr xmlns="http://schemas.microsoft.com/office/spreadsheetml/2009/9/main" objectType="CheckBox" fmlaLink="Activity!#REF!" lockText="1" noThreeD="1"/>
</file>

<file path=xl/ctrlProps/ctrlProp351.xml><?xml version="1.0" encoding="utf-8"?>
<formControlPr xmlns="http://schemas.microsoft.com/office/spreadsheetml/2009/9/main" objectType="CheckBox" fmlaLink="Activity!#REF!" lockText="1" noThreeD="1"/>
</file>

<file path=xl/ctrlProps/ctrlProp352.xml><?xml version="1.0" encoding="utf-8"?>
<formControlPr xmlns="http://schemas.microsoft.com/office/spreadsheetml/2009/9/main" objectType="CheckBox" fmlaLink="Activity!#REF!" lockText="1" noThreeD="1"/>
</file>

<file path=xl/ctrlProps/ctrlProp353.xml><?xml version="1.0" encoding="utf-8"?>
<formControlPr xmlns="http://schemas.microsoft.com/office/spreadsheetml/2009/9/main" objectType="CheckBox" fmlaLink="Activity!#REF!" lockText="1" noThreeD="1"/>
</file>

<file path=xl/ctrlProps/ctrlProp354.xml><?xml version="1.0" encoding="utf-8"?>
<formControlPr xmlns="http://schemas.microsoft.com/office/spreadsheetml/2009/9/main" objectType="CheckBox" fmlaLink="Activity!#REF!" lockText="1" noThreeD="1"/>
</file>

<file path=xl/ctrlProps/ctrlProp355.xml><?xml version="1.0" encoding="utf-8"?>
<formControlPr xmlns="http://schemas.microsoft.com/office/spreadsheetml/2009/9/main" objectType="CheckBox" fmlaLink="Activity!#REF!" lockText="1" noThreeD="1"/>
</file>

<file path=xl/ctrlProps/ctrlProp356.xml><?xml version="1.0" encoding="utf-8"?>
<formControlPr xmlns="http://schemas.microsoft.com/office/spreadsheetml/2009/9/main" objectType="CheckBox" fmlaLink="Activity!#REF!" lockText="1" noThreeD="1"/>
</file>

<file path=xl/ctrlProps/ctrlProp357.xml><?xml version="1.0" encoding="utf-8"?>
<formControlPr xmlns="http://schemas.microsoft.com/office/spreadsheetml/2009/9/main" objectType="CheckBox" fmlaLink="Activity!#REF!" lockText="1" noThreeD="1"/>
</file>

<file path=xl/ctrlProps/ctrlProp358.xml><?xml version="1.0" encoding="utf-8"?>
<formControlPr xmlns="http://schemas.microsoft.com/office/spreadsheetml/2009/9/main" objectType="CheckBox" fmlaLink="Activity!#REF!" lockText="1" noThreeD="1"/>
</file>

<file path=xl/ctrlProps/ctrlProp359.xml><?xml version="1.0" encoding="utf-8"?>
<formControlPr xmlns="http://schemas.microsoft.com/office/spreadsheetml/2009/9/main" objectType="CheckBox" fmlaLink="Activity!#REF!" lockText="1" noThreeD="1"/>
</file>

<file path=xl/ctrlProps/ctrlProp360.xml><?xml version="1.0" encoding="utf-8"?>
<formControlPr xmlns="http://schemas.microsoft.com/office/spreadsheetml/2009/9/main" objectType="CheckBox" fmlaLink="Activity!#REF!" lockText="1" noThreeD="1"/>
</file>

<file path=xl/ctrlProps/ctrlProp361.xml><?xml version="1.0" encoding="utf-8"?>
<formControlPr xmlns="http://schemas.microsoft.com/office/spreadsheetml/2009/9/main" objectType="CheckBox" fmlaLink="Activity!#REF!" lockText="1" noThreeD="1"/>
</file>

<file path=xl/ctrlProps/ctrlProp362.xml><?xml version="1.0" encoding="utf-8"?>
<formControlPr xmlns="http://schemas.microsoft.com/office/spreadsheetml/2009/9/main" objectType="CheckBox" fmlaLink="Activity!#REF!" lockText="1" noThreeD="1"/>
</file>

<file path=xl/ctrlProps/ctrlProp363.xml><?xml version="1.0" encoding="utf-8"?>
<formControlPr xmlns="http://schemas.microsoft.com/office/spreadsheetml/2009/9/main" objectType="CheckBox" fmlaLink="Activity!#REF!" lockText="1" noThreeD="1"/>
</file>

<file path=xl/ctrlProps/ctrlProp364.xml><?xml version="1.0" encoding="utf-8"?>
<formControlPr xmlns="http://schemas.microsoft.com/office/spreadsheetml/2009/9/main" objectType="CheckBox" fmlaLink="Activity!#REF!" lockText="1" noThreeD="1"/>
</file>

<file path=xl/ctrlProps/ctrlProp365.xml><?xml version="1.0" encoding="utf-8"?>
<formControlPr xmlns="http://schemas.microsoft.com/office/spreadsheetml/2009/9/main" objectType="CheckBox" fmlaLink="Activity!#REF!" lockText="1" noThreeD="1"/>
</file>

<file path=xl/ctrlProps/ctrlProp366.xml><?xml version="1.0" encoding="utf-8"?>
<formControlPr xmlns="http://schemas.microsoft.com/office/spreadsheetml/2009/9/main" objectType="CheckBox" fmlaLink="Activity!#REF!" lockText="1" noThreeD="1"/>
</file>

<file path=xl/ctrlProps/ctrlProp367.xml><?xml version="1.0" encoding="utf-8"?>
<formControlPr xmlns="http://schemas.microsoft.com/office/spreadsheetml/2009/9/main" objectType="CheckBox" fmlaLink="Activity!#REF!" lockText="1" noThreeD="1"/>
</file>

<file path=xl/ctrlProps/ctrlProp368.xml><?xml version="1.0" encoding="utf-8"?>
<formControlPr xmlns="http://schemas.microsoft.com/office/spreadsheetml/2009/9/main" objectType="CheckBox" fmlaLink="Activity!#REF!" lockText="1" noThreeD="1"/>
</file>

<file path=xl/ctrlProps/ctrlProp369.xml><?xml version="1.0" encoding="utf-8"?>
<formControlPr xmlns="http://schemas.microsoft.com/office/spreadsheetml/2009/9/main" objectType="CheckBox" fmlaLink="Activity!#REF!" lockText="1" noThreeD="1"/>
</file>

<file path=xl/ctrlProps/ctrlProp370.xml><?xml version="1.0" encoding="utf-8"?>
<formControlPr xmlns="http://schemas.microsoft.com/office/spreadsheetml/2009/9/main" objectType="CheckBox" fmlaLink="Activity!#REF!" lockText="1" noThreeD="1"/>
</file>

<file path=xl/ctrlProps/ctrlProp371.xml><?xml version="1.0" encoding="utf-8"?>
<formControlPr xmlns="http://schemas.microsoft.com/office/spreadsheetml/2009/9/main" objectType="CheckBox" fmlaLink="Activity!#REF!" lockText="1" noThreeD="1"/>
</file>

<file path=xl/ctrlProps/ctrlProp372.xml><?xml version="1.0" encoding="utf-8"?>
<formControlPr xmlns="http://schemas.microsoft.com/office/spreadsheetml/2009/9/main" objectType="CheckBox" fmlaLink="Activity!#REF!" lockText="1" noThreeD="1"/>
</file>

<file path=xl/ctrlProps/ctrlProp373.xml><?xml version="1.0" encoding="utf-8"?>
<formControlPr xmlns="http://schemas.microsoft.com/office/spreadsheetml/2009/9/main" objectType="CheckBox" fmlaLink="Activity!#REF!" lockText="1" noThreeD="1"/>
</file>

<file path=xl/ctrlProps/ctrlProp374.xml><?xml version="1.0" encoding="utf-8"?>
<formControlPr xmlns="http://schemas.microsoft.com/office/spreadsheetml/2009/9/main" objectType="CheckBox" fmlaLink="Activity!#REF!" lockText="1" noThreeD="1"/>
</file>

<file path=xl/ctrlProps/ctrlProp375.xml><?xml version="1.0" encoding="utf-8"?>
<formControlPr xmlns="http://schemas.microsoft.com/office/spreadsheetml/2009/9/main" objectType="CheckBox" fmlaLink="Activity!#REF!" lockText="1" noThreeD="1"/>
</file>

<file path=xl/ctrlProps/ctrlProp376.xml><?xml version="1.0" encoding="utf-8"?>
<formControlPr xmlns="http://schemas.microsoft.com/office/spreadsheetml/2009/9/main" objectType="CheckBox" fmlaLink="Activity!#REF!" lockText="1" noThreeD="1"/>
</file>

<file path=xl/ctrlProps/ctrlProp377.xml><?xml version="1.0" encoding="utf-8"?>
<formControlPr xmlns="http://schemas.microsoft.com/office/spreadsheetml/2009/9/main" objectType="CheckBox" fmlaLink="Activity!#REF!" lockText="1" noThreeD="1"/>
</file>

<file path=xl/ctrlProps/ctrlProp378.xml><?xml version="1.0" encoding="utf-8"?>
<formControlPr xmlns="http://schemas.microsoft.com/office/spreadsheetml/2009/9/main" objectType="CheckBox" fmlaLink="Activity!#REF!" lockText="1" noThreeD="1"/>
</file>

<file path=xl/ctrlProps/ctrlProp379.xml><?xml version="1.0" encoding="utf-8"?>
<formControlPr xmlns="http://schemas.microsoft.com/office/spreadsheetml/2009/9/main" objectType="CheckBox" fmlaLink="Activity!#REF!" lockText="1" noThreeD="1"/>
</file>

<file path=xl/ctrlProps/ctrlProp380.xml><?xml version="1.0" encoding="utf-8"?>
<formControlPr xmlns="http://schemas.microsoft.com/office/spreadsheetml/2009/9/main" objectType="CheckBox" fmlaLink="Activity!#REF!" lockText="1" noThreeD="1"/>
</file>

<file path=xl/ctrlProps/ctrlProp381.xml><?xml version="1.0" encoding="utf-8"?>
<formControlPr xmlns="http://schemas.microsoft.com/office/spreadsheetml/2009/9/main" objectType="CheckBox" fmlaLink="Activity!#REF!" lockText="1" noThreeD="1"/>
</file>

<file path=xl/ctrlProps/ctrlProp382.xml><?xml version="1.0" encoding="utf-8"?>
<formControlPr xmlns="http://schemas.microsoft.com/office/spreadsheetml/2009/9/main" objectType="CheckBox" fmlaLink="Activity!#REF!" lockText="1" noThreeD="1"/>
</file>

<file path=xl/ctrlProps/ctrlProp383.xml><?xml version="1.0" encoding="utf-8"?>
<formControlPr xmlns="http://schemas.microsoft.com/office/spreadsheetml/2009/9/main" objectType="CheckBox" fmlaLink="Activity!#REF!" lockText="1" noThreeD="1"/>
</file>

<file path=xl/ctrlProps/ctrlProp384.xml><?xml version="1.0" encoding="utf-8"?>
<formControlPr xmlns="http://schemas.microsoft.com/office/spreadsheetml/2009/9/main" objectType="CheckBox" fmlaLink="Activity!#REF!" lockText="1" noThreeD="1"/>
</file>

<file path=xl/ctrlProps/ctrlProp385.xml><?xml version="1.0" encoding="utf-8"?>
<formControlPr xmlns="http://schemas.microsoft.com/office/spreadsheetml/2009/9/main" objectType="CheckBox" fmlaLink="Activity!#REF!" lockText="1" noThreeD="1"/>
</file>

<file path=xl/ctrlProps/ctrlProp386.xml><?xml version="1.0" encoding="utf-8"?>
<formControlPr xmlns="http://schemas.microsoft.com/office/spreadsheetml/2009/9/main" objectType="CheckBox" fmlaLink="Activity!#REF!" lockText="1" noThreeD="1"/>
</file>

<file path=xl/ctrlProps/ctrlProp387.xml><?xml version="1.0" encoding="utf-8"?>
<formControlPr xmlns="http://schemas.microsoft.com/office/spreadsheetml/2009/9/main" objectType="CheckBox" fmlaLink="Activity!#REF!" lockText="1" noThreeD="1"/>
</file>

<file path=xl/ctrlProps/ctrlProp388.xml><?xml version="1.0" encoding="utf-8"?>
<formControlPr xmlns="http://schemas.microsoft.com/office/spreadsheetml/2009/9/main" objectType="CheckBox" fmlaLink="Activity!#REF!" lockText="1" noThreeD="1"/>
</file>

<file path=xl/ctrlProps/ctrlProp389.xml><?xml version="1.0" encoding="utf-8"?>
<formControlPr xmlns="http://schemas.microsoft.com/office/spreadsheetml/2009/9/main" objectType="CheckBox" fmlaLink="Activity!#REF!" lockText="1" noThreeD="1"/>
</file>

<file path=xl/ctrlProps/ctrlProp390.xml><?xml version="1.0" encoding="utf-8"?>
<formControlPr xmlns="http://schemas.microsoft.com/office/spreadsheetml/2009/9/main" objectType="CheckBox" fmlaLink="Activity!#REF!" lockText="1" noThreeD="1"/>
</file>

<file path=xl/ctrlProps/ctrlProp391.xml><?xml version="1.0" encoding="utf-8"?>
<formControlPr xmlns="http://schemas.microsoft.com/office/spreadsheetml/2009/9/main" objectType="CheckBox" fmlaLink="Activity!#REF!" lockText="1" noThreeD="1"/>
</file>

<file path=xl/ctrlProps/ctrlProp392.xml><?xml version="1.0" encoding="utf-8"?>
<formControlPr xmlns="http://schemas.microsoft.com/office/spreadsheetml/2009/9/main" objectType="CheckBox" fmlaLink="Activity!#REF!" lockText="1" noThreeD="1"/>
</file>

<file path=xl/ctrlProps/ctrlProp393.xml><?xml version="1.0" encoding="utf-8"?>
<formControlPr xmlns="http://schemas.microsoft.com/office/spreadsheetml/2009/9/main" objectType="CheckBox" fmlaLink="Activity!#REF!" lockText="1" noThreeD="1"/>
</file>

<file path=xl/ctrlProps/ctrlProp394.xml><?xml version="1.0" encoding="utf-8"?>
<formControlPr xmlns="http://schemas.microsoft.com/office/spreadsheetml/2009/9/main" objectType="CheckBox" fmlaLink="Activity!#REF!" lockText="1" noThreeD="1"/>
</file>

<file path=xl/ctrlProps/ctrlProp395.xml><?xml version="1.0" encoding="utf-8"?>
<formControlPr xmlns="http://schemas.microsoft.com/office/spreadsheetml/2009/9/main" objectType="CheckBox" fmlaLink="Activity!#REF!" lockText="1" noThreeD="1"/>
</file>

<file path=xl/ctrlProps/ctrlProp396.xml><?xml version="1.0" encoding="utf-8"?>
<formControlPr xmlns="http://schemas.microsoft.com/office/spreadsheetml/2009/9/main" objectType="CheckBox" fmlaLink="Activity!#REF!" lockText="1" noThreeD="1"/>
</file>

<file path=xl/ctrlProps/ctrlProp397.xml><?xml version="1.0" encoding="utf-8"?>
<formControlPr xmlns="http://schemas.microsoft.com/office/spreadsheetml/2009/9/main" objectType="CheckBox" fmlaLink="Activity!#REF!" lockText="1" noThreeD="1"/>
</file>

<file path=xl/ctrlProps/ctrlProp398.xml><?xml version="1.0" encoding="utf-8"?>
<formControlPr xmlns="http://schemas.microsoft.com/office/spreadsheetml/2009/9/main" objectType="CheckBox" fmlaLink="Activity!#REF!" lockText="1" noThreeD="1"/>
</file>

<file path=xl/ctrlProps/ctrlProp399.xml><?xml version="1.0" encoding="utf-8"?>
<formControlPr xmlns="http://schemas.microsoft.com/office/spreadsheetml/2009/9/main" objectType="CheckBox" fmlaLink="Activity!#REF!" lockText="1" noThreeD="1"/>
</file>

<file path=xl/ctrlProps/ctrlProp400.xml><?xml version="1.0" encoding="utf-8"?>
<formControlPr xmlns="http://schemas.microsoft.com/office/spreadsheetml/2009/9/main" objectType="CheckBox" fmlaLink="Activity!#REF!" lockText="1" noThreeD="1"/>
</file>

<file path=xl/ctrlProps/ctrlProp401.xml><?xml version="1.0" encoding="utf-8"?>
<formControlPr xmlns="http://schemas.microsoft.com/office/spreadsheetml/2009/9/main" objectType="CheckBox" fmlaLink="Activity!#REF!" lockText="1" noThreeD="1"/>
</file>

<file path=xl/ctrlProps/ctrlProp402.xml><?xml version="1.0" encoding="utf-8"?>
<formControlPr xmlns="http://schemas.microsoft.com/office/spreadsheetml/2009/9/main" objectType="CheckBox" fmlaLink="Activity!#REF!" lockText="1" noThreeD="1"/>
</file>

<file path=xl/ctrlProps/ctrlProp403.xml><?xml version="1.0" encoding="utf-8"?>
<formControlPr xmlns="http://schemas.microsoft.com/office/spreadsheetml/2009/9/main" objectType="CheckBox" fmlaLink="Activity!#REF!" lockText="1" noThreeD="1"/>
</file>

<file path=xl/ctrlProps/ctrlProp404.xml><?xml version="1.0" encoding="utf-8"?>
<formControlPr xmlns="http://schemas.microsoft.com/office/spreadsheetml/2009/9/main" objectType="CheckBox" fmlaLink="Activity!#REF!" lockText="1" noThreeD="1"/>
</file>

<file path=xl/ctrlProps/ctrlProp405.xml><?xml version="1.0" encoding="utf-8"?>
<formControlPr xmlns="http://schemas.microsoft.com/office/spreadsheetml/2009/9/main" objectType="CheckBox" fmlaLink="Activity!#REF!" lockText="1" noThreeD="1"/>
</file>

<file path=xl/ctrlProps/ctrlProp406.xml><?xml version="1.0" encoding="utf-8"?>
<formControlPr xmlns="http://schemas.microsoft.com/office/spreadsheetml/2009/9/main" objectType="CheckBox" fmlaLink="Activity!#REF!" lockText="1" noThreeD="1"/>
</file>

<file path=xl/ctrlProps/ctrlProp407.xml><?xml version="1.0" encoding="utf-8"?>
<formControlPr xmlns="http://schemas.microsoft.com/office/spreadsheetml/2009/9/main" objectType="CheckBox" fmlaLink="Activity!#REF!" lockText="1" noThreeD="1"/>
</file>

<file path=xl/ctrlProps/ctrlProp408.xml><?xml version="1.0" encoding="utf-8"?>
<formControlPr xmlns="http://schemas.microsoft.com/office/spreadsheetml/2009/9/main" objectType="CheckBox" fmlaLink="Activity!#REF!" lockText="1" noThreeD="1"/>
</file>

<file path=xl/ctrlProps/ctrlProp409.xml><?xml version="1.0" encoding="utf-8"?>
<formControlPr xmlns="http://schemas.microsoft.com/office/spreadsheetml/2009/9/main" objectType="CheckBox" fmlaLink="Activity!#REF!" lockText="1" noThreeD="1"/>
</file>

<file path=xl/ctrlProps/ctrlProp410.xml><?xml version="1.0" encoding="utf-8"?>
<formControlPr xmlns="http://schemas.microsoft.com/office/spreadsheetml/2009/9/main" objectType="CheckBox" fmlaLink="Activity!#REF!" lockText="1" noThreeD="1"/>
</file>

<file path=xl/ctrlProps/ctrlProp411.xml><?xml version="1.0" encoding="utf-8"?>
<formControlPr xmlns="http://schemas.microsoft.com/office/spreadsheetml/2009/9/main" objectType="CheckBox" fmlaLink="Activity!#REF!" lockText="1" noThreeD="1"/>
</file>

<file path=xl/ctrlProps/ctrlProp412.xml><?xml version="1.0" encoding="utf-8"?>
<formControlPr xmlns="http://schemas.microsoft.com/office/spreadsheetml/2009/9/main" objectType="CheckBox" fmlaLink="Activity!#REF!" lockText="1" noThreeD="1"/>
</file>

<file path=xl/ctrlProps/ctrlProp413.xml><?xml version="1.0" encoding="utf-8"?>
<formControlPr xmlns="http://schemas.microsoft.com/office/spreadsheetml/2009/9/main" objectType="CheckBox" fmlaLink="Activity!#REF!" lockText="1" noThreeD="1"/>
</file>

<file path=xl/ctrlProps/ctrlProp414.xml><?xml version="1.0" encoding="utf-8"?>
<formControlPr xmlns="http://schemas.microsoft.com/office/spreadsheetml/2009/9/main" objectType="CheckBox" fmlaLink="Activity!#REF!" lockText="1" noThreeD="1"/>
</file>

<file path=xl/ctrlProps/ctrlProp415.xml><?xml version="1.0" encoding="utf-8"?>
<formControlPr xmlns="http://schemas.microsoft.com/office/spreadsheetml/2009/9/main" objectType="CheckBox" fmlaLink="Activity!#REF!" lockText="1" noThreeD="1"/>
</file>

<file path=xl/ctrlProps/ctrlProp416.xml><?xml version="1.0" encoding="utf-8"?>
<formControlPr xmlns="http://schemas.microsoft.com/office/spreadsheetml/2009/9/main" objectType="CheckBox" fmlaLink="Activity!#REF!" lockText="1" noThreeD="1"/>
</file>

<file path=xl/ctrlProps/ctrlProp417.xml><?xml version="1.0" encoding="utf-8"?>
<formControlPr xmlns="http://schemas.microsoft.com/office/spreadsheetml/2009/9/main" objectType="CheckBox" fmlaLink="Activity!#REF!" lockText="1" noThreeD="1"/>
</file>

<file path=xl/ctrlProps/ctrlProp418.xml><?xml version="1.0" encoding="utf-8"?>
<formControlPr xmlns="http://schemas.microsoft.com/office/spreadsheetml/2009/9/main" objectType="CheckBox" fmlaLink="Activity!#REF!" lockText="1" noThreeD="1"/>
</file>

<file path=xl/ctrlProps/ctrlProp419.xml><?xml version="1.0" encoding="utf-8"?>
<formControlPr xmlns="http://schemas.microsoft.com/office/spreadsheetml/2009/9/main" objectType="CheckBox" fmlaLink="Activity!#REF!" lockText="1" noThreeD="1"/>
</file>

<file path=xl/ctrlProps/ctrlProp420.xml><?xml version="1.0" encoding="utf-8"?>
<formControlPr xmlns="http://schemas.microsoft.com/office/spreadsheetml/2009/9/main" objectType="CheckBox" fmlaLink="Activity!#REF!" lockText="1" noThreeD="1"/>
</file>

<file path=xl/ctrlProps/ctrlProp421.xml><?xml version="1.0" encoding="utf-8"?>
<formControlPr xmlns="http://schemas.microsoft.com/office/spreadsheetml/2009/9/main" objectType="CheckBox" fmlaLink="Activity!#REF!" lockText="1" noThreeD="1"/>
</file>

<file path=xl/ctrlProps/ctrlProp422.xml><?xml version="1.0" encoding="utf-8"?>
<formControlPr xmlns="http://schemas.microsoft.com/office/spreadsheetml/2009/9/main" objectType="CheckBox" fmlaLink="Activity!#REF!" lockText="1" noThreeD="1"/>
</file>

<file path=xl/ctrlProps/ctrlProp423.xml><?xml version="1.0" encoding="utf-8"?>
<formControlPr xmlns="http://schemas.microsoft.com/office/spreadsheetml/2009/9/main" objectType="CheckBox" fmlaLink="Activity!#REF!" lockText="1" noThreeD="1"/>
</file>

<file path=xl/ctrlProps/ctrlProp424.xml><?xml version="1.0" encoding="utf-8"?>
<formControlPr xmlns="http://schemas.microsoft.com/office/spreadsheetml/2009/9/main" objectType="CheckBox" fmlaLink="Activity!#REF!" lockText="1" noThreeD="1"/>
</file>

<file path=xl/ctrlProps/ctrlProp425.xml><?xml version="1.0" encoding="utf-8"?>
<formControlPr xmlns="http://schemas.microsoft.com/office/spreadsheetml/2009/9/main" objectType="CheckBox" fmlaLink="Activity!#REF!" lockText="1" noThreeD="1"/>
</file>

<file path=xl/ctrlProps/ctrlProp426.xml><?xml version="1.0" encoding="utf-8"?>
<formControlPr xmlns="http://schemas.microsoft.com/office/spreadsheetml/2009/9/main" objectType="CheckBox" fmlaLink="Activity!#REF!" lockText="1" noThreeD="1"/>
</file>

<file path=xl/ctrlProps/ctrlProp427.xml><?xml version="1.0" encoding="utf-8"?>
<formControlPr xmlns="http://schemas.microsoft.com/office/spreadsheetml/2009/9/main" objectType="CheckBox" fmlaLink="Activity!#REF!" lockText="1" noThreeD="1"/>
</file>

<file path=xl/ctrlProps/ctrlProp428.xml><?xml version="1.0" encoding="utf-8"?>
<formControlPr xmlns="http://schemas.microsoft.com/office/spreadsheetml/2009/9/main" objectType="CheckBox" fmlaLink="Activity!#REF!" lockText="1" noThreeD="1"/>
</file>

<file path=xl/ctrlProps/ctrlProp429.xml><?xml version="1.0" encoding="utf-8"?>
<formControlPr xmlns="http://schemas.microsoft.com/office/spreadsheetml/2009/9/main" objectType="CheckBox" fmlaLink="Activity!#REF!" lockText="1" noThreeD="1"/>
</file>

<file path=xl/ctrlProps/ctrlProp430.xml><?xml version="1.0" encoding="utf-8"?>
<formControlPr xmlns="http://schemas.microsoft.com/office/spreadsheetml/2009/9/main" objectType="CheckBox" fmlaLink="Activity!#REF!" lockText="1" noThreeD="1"/>
</file>

<file path=xl/ctrlProps/ctrlProp431.xml><?xml version="1.0" encoding="utf-8"?>
<formControlPr xmlns="http://schemas.microsoft.com/office/spreadsheetml/2009/9/main" objectType="CheckBox" fmlaLink="Activity!#REF!" lockText="1" noThreeD="1"/>
</file>

<file path=xl/ctrlProps/ctrlProp432.xml><?xml version="1.0" encoding="utf-8"?>
<formControlPr xmlns="http://schemas.microsoft.com/office/spreadsheetml/2009/9/main" objectType="CheckBox" fmlaLink="Activity!#REF!" lockText="1" noThreeD="1"/>
</file>

<file path=xl/ctrlProps/ctrlProp433.xml><?xml version="1.0" encoding="utf-8"?>
<formControlPr xmlns="http://schemas.microsoft.com/office/spreadsheetml/2009/9/main" objectType="CheckBox" fmlaLink="Activity!#REF!" lockText="1" noThreeD="1"/>
</file>

<file path=xl/ctrlProps/ctrlProp434.xml><?xml version="1.0" encoding="utf-8"?>
<formControlPr xmlns="http://schemas.microsoft.com/office/spreadsheetml/2009/9/main" objectType="CheckBox" fmlaLink="Activity!#REF!" lockText="1" noThreeD="1"/>
</file>

<file path=xl/ctrlProps/ctrlProp435.xml><?xml version="1.0" encoding="utf-8"?>
<formControlPr xmlns="http://schemas.microsoft.com/office/spreadsheetml/2009/9/main" objectType="CheckBox" fmlaLink="Activity!#REF!" lockText="1" noThreeD="1"/>
</file>

<file path=xl/ctrlProps/ctrlProp436.xml><?xml version="1.0" encoding="utf-8"?>
<formControlPr xmlns="http://schemas.microsoft.com/office/spreadsheetml/2009/9/main" objectType="CheckBox" fmlaLink="Activity!#REF!" lockText="1" noThreeD="1"/>
</file>

<file path=xl/ctrlProps/ctrlProp437.xml><?xml version="1.0" encoding="utf-8"?>
<formControlPr xmlns="http://schemas.microsoft.com/office/spreadsheetml/2009/9/main" objectType="CheckBox" fmlaLink="Activity!#REF!" lockText="1" noThreeD="1"/>
</file>

<file path=xl/ctrlProps/ctrlProp438.xml><?xml version="1.0" encoding="utf-8"?>
<formControlPr xmlns="http://schemas.microsoft.com/office/spreadsheetml/2009/9/main" objectType="CheckBox" fmlaLink="Activity!#REF!" lockText="1" noThreeD="1"/>
</file>

<file path=xl/ctrlProps/ctrlProp439.xml><?xml version="1.0" encoding="utf-8"?>
<formControlPr xmlns="http://schemas.microsoft.com/office/spreadsheetml/2009/9/main" objectType="CheckBox" fmlaLink="Activity!#REF!" lockText="1" noThreeD="1"/>
</file>

<file path=xl/ctrlProps/ctrlProp440.xml><?xml version="1.0" encoding="utf-8"?>
<formControlPr xmlns="http://schemas.microsoft.com/office/spreadsheetml/2009/9/main" objectType="CheckBox" fmlaLink="Activity!#REF!" lockText="1" noThreeD="1"/>
</file>

<file path=xl/ctrlProps/ctrlProp441.xml><?xml version="1.0" encoding="utf-8"?>
<formControlPr xmlns="http://schemas.microsoft.com/office/spreadsheetml/2009/9/main" objectType="CheckBox" fmlaLink="Activity!#REF!" lockText="1" noThreeD="1"/>
</file>

<file path=xl/ctrlProps/ctrlProp442.xml><?xml version="1.0" encoding="utf-8"?>
<formControlPr xmlns="http://schemas.microsoft.com/office/spreadsheetml/2009/9/main" objectType="CheckBox" fmlaLink="Activity!#REF!" lockText="1" noThreeD="1"/>
</file>

<file path=xl/ctrlProps/ctrlProp443.xml><?xml version="1.0" encoding="utf-8"?>
<formControlPr xmlns="http://schemas.microsoft.com/office/spreadsheetml/2009/9/main" objectType="CheckBox" fmlaLink="Activity!#REF!" lockText="1" noThreeD="1"/>
</file>

<file path=xl/ctrlProps/ctrlProp444.xml><?xml version="1.0" encoding="utf-8"?>
<formControlPr xmlns="http://schemas.microsoft.com/office/spreadsheetml/2009/9/main" objectType="CheckBox" fmlaLink="Activity!#REF!" lockText="1" noThreeD="1"/>
</file>

<file path=xl/ctrlProps/ctrlProp445.xml><?xml version="1.0" encoding="utf-8"?>
<formControlPr xmlns="http://schemas.microsoft.com/office/spreadsheetml/2009/9/main" objectType="CheckBox" fmlaLink="Activity!#REF!" lockText="1" noThreeD="1"/>
</file>

<file path=xl/ctrlProps/ctrlProp446.xml><?xml version="1.0" encoding="utf-8"?>
<formControlPr xmlns="http://schemas.microsoft.com/office/spreadsheetml/2009/9/main" objectType="CheckBox" fmlaLink="Activity!#REF!" lockText="1" noThreeD="1"/>
</file>

<file path=xl/ctrlProps/ctrlProp447.xml><?xml version="1.0" encoding="utf-8"?>
<formControlPr xmlns="http://schemas.microsoft.com/office/spreadsheetml/2009/9/main" objectType="CheckBox" fmlaLink="Activity!#REF!" lockText="1" noThreeD="1"/>
</file>

<file path=xl/ctrlProps/ctrlProp448.xml><?xml version="1.0" encoding="utf-8"?>
<formControlPr xmlns="http://schemas.microsoft.com/office/spreadsheetml/2009/9/main" objectType="CheckBox" fmlaLink="Activity!#REF!" lockText="1" noThreeD="1"/>
</file>

<file path=xl/ctrlProps/ctrlProp449.xml><?xml version="1.0" encoding="utf-8"?>
<formControlPr xmlns="http://schemas.microsoft.com/office/spreadsheetml/2009/9/main" objectType="CheckBox" fmlaLink="Activity!#REF!" lockText="1" noThreeD="1"/>
</file>

<file path=xl/ctrlProps/ctrlProp450.xml><?xml version="1.0" encoding="utf-8"?>
<formControlPr xmlns="http://schemas.microsoft.com/office/spreadsheetml/2009/9/main" objectType="CheckBox" fmlaLink="Activity!#REF!" lockText="1" noThreeD="1"/>
</file>

<file path=xl/ctrlProps/ctrlProp451.xml><?xml version="1.0" encoding="utf-8"?>
<formControlPr xmlns="http://schemas.microsoft.com/office/spreadsheetml/2009/9/main" objectType="CheckBox" fmlaLink="Activity!#REF!" lockText="1" noThreeD="1"/>
</file>

<file path=xl/ctrlProps/ctrlProp452.xml><?xml version="1.0" encoding="utf-8"?>
<formControlPr xmlns="http://schemas.microsoft.com/office/spreadsheetml/2009/9/main" objectType="CheckBox" fmlaLink="Activity!#REF!" lockText="1" noThreeD="1"/>
</file>

<file path=xl/ctrlProps/ctrlProp453.xml><?xml version="1.0" encoding="utf-8"?>
<formControlPr xmlns="http://schemas.microsoft.com/office/spreadsheetml/2009/9/main" objectType="CheckBox" fmlaLink="Activity!#REF!" lockText="1" noThreeD="1"/>
</file>

<file path=xl/ctrlProps/ctrlProp454.xml><?xml version="1.0" encoding="utf-8"?>
<formControlPr xmlns="http://schemas.microsoft.com/office/spreadsheetml/2009/9/main" objectType="CheckBox" fmlaLink="Activity!#REF!" lockText="1" noThreeD="1"/>
</file>

<file path=xl/ctrlProps/ctrlProp455.xml><?xml version="1.0" encoding="utf-8"?>
<formControlPr xmlns="http://schemas.microsoft.com/office/spreadsheetml/2009/9/main" objectType="CheckBox" fmlaLink="Activity!#REF!" lockText="1" noThreeD="1"/>
</file>

<file path=xl/ctrlProps/ctrlProp456.xml><?xml version="1.0" encoding="utf-8"?>
<formControlPr xmlns="http://schemas.microsoft.com/office/spreadsheetml/2009/9/main" objectType="CheckBox" fmlaLink="Activity!#REF!" lockText="1" noThreeD="1"/>
</file>

<file path=xl/ctrlProps/ctrlProp457.xml><?xml version="1.0" encoding="utf-8"?>
<formControlPr xmlns="http://schemas.microsoft.com/office/spreadsheetml/2009/9/main" objectType="CheckBox" fmlaLink="Activity!#REF!" lockText="1" noThreeD="1"/>
</file>

<file path=xl/ctrlProps/ctrlProp458.xml><?xml version="1.0" encoding="utf-8"?>
<formControlPr xmlns="http://schemas.microsoft.com/office/spreadsheetml/2009/9/main" objectType="CheckBox" fmlaLink="Activity!#REF!" lockText="1" noThreeD="1"/>
</file>

<file path=xl/ctrlProps/ctrlProp459.xml><?xml version="1.0" encoding="utf-8"?>
<formControlPr xmlns="http://schemas.microsoft.com/office/spreadsheetml/2009/9/main" objectType="CheckBox" fmlaLink="Activity!#REF!" lockText="1" noThreeD="1"/>
</file>

<file path=xl/ctrlProps/ctrlProp460.xml><?xml version="1.0" encoding="utf-8"?>
<formControlPr xmlns="http://schemas.microsoft.com/office/spreadsheetml/2009/9/main" objectType="CheckBox" fmlaLink="Activity!#REF!" lockText="1" noThreeD="1"/>
</file>

<file path=xl/ctrlProps/ctrlProp461.xml><?xml version="1.0" encoding="utf-8"?>
<formControlPr xmlns="http://schemas.microsoft.com/office/spreadsheetml/2009/9/main" objectType="CheckBox" fmlaLink="Activity!#REF!" lockText="1" noThreeD="1"/>
</file>

<file path=xl/ctrlProps/ctrlProp462.xml><?xml version="1.0" encoding="utf-8"?>
<formControlPr xmlns="http://schemas.microsoft.com/office/spreadsheetml/2009/9/main" objectType="CheckBox" fmlaLink="Activity!#REF!" lockText="1" noThreeD="1"/>
</file>

<file path=xl/ctrlProps/ctrlProp463.xml><?xml version="1.0" encoding="utf-8"?>
<formControlPr xmlns="http://schemas.microsoft.com/office/spreadsheetml/2009/9/main" objectType="CheckBox" fmlaLink="Activity!#REF!" lockText="1" noThreeD="1"/>
</file>

<file path=xl/ctrlProps/ctrlProp464.xml><?xml version="1.0" encoding="utf-8"?>
<formControlPr xmlns="http://schemas.microsoft.com/office/spreadsheetml/2009/9/main" objectType="CheckBox" fmlaLink="Activity!#REF!" lockText="1" noThreeD="1"/>
</file>

<file path=xl/ctrlProps/ctrlProp465.xml><?xml version="1.0" encoding="utf-8"?>
<formControlPr xmlns="http://schemas.microsoft.com/office/spreadsheetml/2009/9/main" objectType="CheckBox" fmlaLink="Activity!#REF!" lockText="1" noThreeD="1"/>
</file>

<file path=xl/ctrlProps/ctrlProp466.xml><?xml version="1.0" encoding="utf-8"?>
<formControlPr xmlns="http://schemas.microsoft.com/office/spreadsheetml/2009/9/main" objectType="CheckBox" fmlaLink="Activity!#REF!" lockText="1" noThreeD="1"/>
</file>

<file path=xl/ctrlProps/ctrlProp467.xml><?xml version="1.0" encoding="utf-8"?>
<formControlPr xmlns="http://schemas.microsoft.com/office/spreadsheetml/2009/9/main" objectType="CheckBox" fmlaLink="Activity!#REF!" lockText="1" noThreeD="1"/>
</file>

<file path=xl/ctrlProps/ctrlProp468.xml><?xml version="1.0" encoding="utf-8"?>
<formControlPr xmlns="http://schemas.microsoft.com/office/spreadsheetml/2009/9/main" objectType="CheckBox" fmlaLink="Activity!#REF!" lockText="1" noThreeD="1"/>
</file>

<file path=xl/ctrlProps/ctrlProp469.xml><?xml version="1.0" encoding="utf-8"?>
<formControlPr xmlns="http://schemas.microsoft.com/office/spreadsheetml/2009/9/main" objectType="CheckBox" fmlaLink="Activity!#REF!" lockText="1" noThreeD="1"/>
</file>

<file path=xl/ctrlProps/ctrlProp470.xml><?xml version="1.0" encoding="utf-8"?>
<formControlPr xmlns="http://schemas.microsoft.com/office/spreadsheetml/2009/9/main" objectType="CheckBox" fmlaLink="Activity!#REF!" lockText="1" noThreeD="1"/>
</file>

<file path=xl/ctrlProps/ctrlProp471.xml><?xml version="1.0" encoding="utf-8"?>
<formControlPr xmlns="http://schemas.microsoft.com/office/spreadsheetml/2009/9/main" objectType="CheckBox" fmlaLink="Activity!#REF!" lockText="1" noThreeD="1"/>
</file>

<file path=xl/ctrlProps/ctrlProp472.xml><?xml version="1.0" encoding="utf-8"?>
<formControlPr xmlns="http://schemas.microsoft.com/office/spreadsheetml/2009/9/main" objectType="CheckBox" fmlaLink="Activity!#REF!" lockText="1" noThreeD="1"/>
</file>

<file path=xl/ctrlProps/ctrlProp473.xml><?xml version="1.0" encoding="utf-8"?>
<formControlPr xmlns="http://schemas.microsoft.com/office/spreadsheetml/2009/9/main" objectType="CheckBox" fmlaLink="Activity!#REF!" lockText="1" noThreeD="1"/>
</file>

<file path=xl/ctrlProps/ctrlProp474.xml><?xml version="1.0" encoding="utf-8"?>
<formControlPr xmlns="http://schemas.microsoft.com/office/spreadsheetml/2009/9/main" objectType="CheckBox" fmlaLink="Activity!#REF!" lockText="1" noThreeD="1"/>
</file>

<file path=xl/ctrlProps/ctrlProp475.xml><?xml version="1.0" encoding="utf-8"?>
<formControlPr xmlns="http://schemas.microsoft.com/office/spreadsheetml/2009/9/main" objectType="CheckBox" fmlaLink="Activity!#REF!" lockText="1" noThreeD="1"/>
</file>

<file path=xl/ctrlProps/ctrlProp476.xml><?xml version="1.0" encoding="utf-8"?>
<formControlPr xmlns="http://schemas.microsoft.com/office/spreadsheetml/2009/9/main" objectType="CheckBox" fmlaLink="Activity!#REF!" lockText="1" noThreeD="1"/>
</file>

<file path=xl/ctrlProps/ctrlProp477.xml><?xml version="1.0" encoding="utf-8"?>
<formControlPr xmlns="http://schemas.microsoft.com/office/spreadsheetml/2009/9/main" objectType="CheckBox" fmlaLink="Activity!#REF!" lockText="1" noThreeD="1"/>
</file>

<file path=xl/ctrlProps/ctrlProp478.xml><?xml version="1.0" encoding="utf-8"?>
<formControlPr xmlns="http://schemas.microsoft.com/office/spreadsheetml/2009/9/main" objectType="CheckBox" fmlaLink="Activity!#REF!" lockText="1" noThreeD="1"/>
</file>

<file path=xl/ctrlProps/ctrlProp479.xml><?xml version="1.0" encoding="utf-8"?>
<formControlPr xmlns="http://schemas.microsoft.com/office/spreadsheetml/2009/9/main" objectType="CheckBox" fmlaLink="Activity!#REF!" lockText="1" noThreeD="1"/>
</file>

<file path=xl/ctrlProps/ctrlProp480.xml><?xml version="1.0" encoding="utf-8"?>
<formControlPr xmlns="http://schemas.microsoft.com/office/spreadsheetml/2009/9/main" objectType="CheckBox" fmlaLink="Activity!#REF!" lockText="1" noThreeD="1"/>
</file>

<file path=xl/ctrlProps/ctrlProp481.xml><?xml version="1.0" encoding="utf-8"?>
<formControlPr xmlns="http://schemas.microsoft.com/office/spreadsheetml/2009/9/main" objectType="CheckBox" fmlaLink="Activity!#REF!" lockText="1" noThreeD="1"/>
</file>

<file path=xl/ctrlProps/ctrlProp482.xml><?xml version="1.0" encoding="utf-8"?>
<formControlPr xmlns="http://schemas.microsoft.com/office/spreadsheetml/2009/9/main" objectType="CheckBox" fmlaLink="Activity!#REF!" lockText="1" noThreeD="1"/>
</file>

<file path=xl/ctrlProps/ctrlProp483.xml><?xml version="1.0" encoding="utf-8"?>
<formControlPr xmlns="http://schemas.microsoft.com/office/spreadsheetml/2009/9/main" objectType="CheckBox" fmlaLink="Activity!#REF!" lockText="1" noThreeD="1"/>
</file>

<file path=xl/ctrlProps/ctrlProp484.xml><?xml version="1.0" encoding="utf-8"?>
<formControlPr xmlns="http://schemas.microsoft.com/office/spreadsheetml/2009/9/main" objectType="CheckBox" fmlaLink="Activity!#REF!" lockText="1" noThreeD="1"/>
</file>

<file path=xl/ctrlProps/ctrlProp485.xml><?xml version="1.0" encoding="utf-8"?>
<formControlPr xmlns="http://schemas.microsoft.com/office/spreadsheetml/2009/9/main" objectType="CheckBox" fmlaLink="Activity!#REF!" lockText="1" noThreeD="1"/>
</file>

<file path=xl/ctrlProps/ctrlProp486.xml><?xml version="1.0" encoding="utf-8"?>
<formControlPr xmlns="http://schemas.microsoft.com/office/spreadsheetml/2009/9/main" objectType="CheckBox" fmlaLink="Activity!#REF!" lockText="1" noThreeD="1"/>
</file>

<file path=xl/ctrlProps/ctrlProp487.xml><?xml version="1.0" encoding="utf-8"?>
<formControlPr xmlns="http://schemas.microsoft.com/office/spreadsheetml/2009/9/main" objectType="CheckBox" fmlaLink="Activity!#REF!" lockText="1" noThreeD="1"/>
</file>

<file path=xl/ctrlProps/ctrlProp488.xml><?xml version="1.0" encoding="utf-8"?>
<formControlPr xmlns="http://schemas.microsoft.com/office/spreadsheetml/2009/9/main" objectType="CheckBox" fmlaLink="Activity!#REF!" lockText="1" noThreeD="1"/>
</file>

<file path=xl/ctrlProps/ctrlProp489.xml><?xml version="1.0" encoding="utf-8"?>
<formControlPr xmlns="http://schemas.microsoft.com/office/spreadsheetml/2009/9/main" objectType="CheckBox" fmlaLink="Activity!#REF!" lockText="1" noThreeD="1"/>
</file>

<file path=xl/ctrlProps/ctrlProp490.xml><?xml version="1.0" encoding="utf-8"?>
<formControlPr xmlns="http://schemas.microsoft.com/office/spreadsheetml/2009/9/main" objectType="CheckBox" fmlaLink="Activity!#REF!" lockText="1" noThreeD="1"/>
</file>

<file path=xl/ctrlProps/ctrlProp491.xml><?xml version="1.0" encoding="utf-8"?>
<formControlPr xmlns="http://schemas.microsoft.com/office/spreadsheetml/2009/9/main" objectType="CheckBox" fmlaLink="Activity!#REF!" lockText="1" noThreeD="1"/>
</file>

<file path=xl/ctrlProps/ctrlProp492.xml><?xml version="1.0" encoding="utf-8"?>
<formControlPr xmlns="http://schemas.microsoft.com/office/spreadsheetml/2009/9/main" objectType="CheckBox" fmlaLink="Activity!#REF!" lockText="1" noThreeD="1"/>
</file>

<file path=xl/ctrlProps/ctrlProp493.xml><?xml version="1.0" encoding="utf-8"?>
<formControlPr xmlns="http://schemas.microsoft.com/office/spreadsheetml/2009/9/main" objectType="CheckBox" fmlaLink="Activity!#REF!" lockText="1" noThreeD="1"/>
</file>

<file path=xl/ctrlProps/ctrlProp494.xml><?xml version="1.0" encoding="utf-8"?>
<formControlPr xmlns="http://schemas.microsoft.com/office/spreadsheetml/2009/9/main" objectType="CheckBox" fmlaLink="Activity!#REF!" lockText="1" noThreeD="1"/>
</file>

<file path=xl/ctrlProps/ctrlProp495.xml><?xml version="1.0" encoding="utf-8"?>
<formControlPr xmlns="http://schemas.microsoft.com/office/spreadsheetml/2009/9/main" objectType="CheckBox" fmlaLink="Activity!#REF!" lockText="1" noThreeD="1"/>
</file>

<file path=xl/ctrlProps/ctrlProp496.xml><?xml version="1.0" encoding="utf-8"?>
<formControlPr xmlns="http://schemas.microsoft.com/office/spreadsheetml/2009/9/main" objectType="CheckBox" fmlaLink="Activity!#REF!" lockText="1" noThreeD="1"/>
</file>

<file path=xl/ctrlProps/ctrlProp497.xml><?xml version="1.0" encoding="utf-8"?>
<formControlPr xmlns="http://schemas.microsoft.com/office/spreadsheetml/2009/9/main" objectType="CheckBox" fmlaLink="Activity!#REF!" lockText="1" noThreeD="1"/>
</file>

<file path=xl/ctrlProps/ctrlProp498.xml><?xml version="1.0" encoding="utf-8"?>
<formControlPr xmlns="http://schemas.microsoft.com/office/spreadsheetml/2009/9/main" objectType="CheckBox" fmlaLink="Activity!#REF!" lockText="1" noThreeD="1"/>
</file>

<file path=xl/ctrlProps/ctrlProp499.xml><?xml version="1.0" encoding="utf-8"?>
<formControlPr xmlns="http://schemas.microsoft.com/office/spreadsheetml/2009/9/main" objectType="CheckBox" fmlaLink="Activity!#REF!" lockText="1" noThreeD="1"/>
</file>

<file path=xl/ctrlProps/ctrlProp500.xml><?xml version="1.0" encoding="utf-8"?>
<formControlPr xmlns="http://schemas.microsoft.com/office/spreadsheetml/2009/9/main" objectType="CheckBox" fmlaLink="Activity!#REF!" lockText="1" noThreeD="1"/>
</file>

<file path=xl/ctrlProps/ctrlProp501.xml><?xml version="1.0" encoding="utf-8"?>
<formControlPr xmlns="http://schemas.microsoft.com/office/spreadsheetml/2009/9/main" objectType="CheckBox" fmlaLink="Activity!#REF!" lockText="1" noThreeD="1"/>
</file>

<file path=xl/ctrlProps/ctrlProp502.xml><?xml version="1.0" encoding="utf-8"?>
<formControlPr xmlns="http://schemas.microsoft.com/office/spreadsheetml/2009/9/main" objectType="CheckBox" fmlaLink="Activity!#REF!" lockText="1" noThreeD="1"/>
</file>

<file path=xl/ctrlProps/ctrlProp503.xml><?xml version="1.0" encoding="utf-8"?>
<formControlPr xmlns="http://schemas.microsoft.com/office/spreadsheetml/2009/9/main" objectType="CheckBox" fmlaLink="Activity!#REF!" lockText="1" noThreeD="1"/>
</file>

<file path=xl/ctrlProps/ctrlProp504.xml><?xml version="1.0" encoding="utf-8"?>
<formControlPr xmlns="http://schemas.microsoft.com/office/spreadsheetml/2009/9/main" objectType="CheckBox" fmlaLink="Activity!#REF!" lockText="1" noThreeD="1"/>
</file>

<file path=xl/ctrlProps/ctrlProp505.xml><?xml version="1.0" encoding="utf-8"?>
<formControlPr xmlns="http://schemas.microsoft.com/office/spreadsheetml/2009/9/main" objectType="CheckBox" fmlaLink="Activity!#REF!" lockText="1" noThreeD="1"/>
</file>

<file path=xl/ctrlProps/ctrlProp506.xml><?xml version="1.0" encoding="utf-8"?>
<formControlPr xmlns="http://schemas.microsoft.com/office/spreadsheetml/2009/9/main" objectType="CheckBox" fmlaLink="Activity!#REF!" lockText="1" noThreeD="1"/>
</file>

<file path=xl/ctrlProps/ctrlProp507.xml><?xml version="1.0" encoding="utf-8"?>
<formControlPr xmlns="http://schemas.microsoft.com/office/spreadsheetml/2009/9/main" objectType="CheckBox" fmlaLink="Activity!#REF!" lockText="1" noThreeD="1"/>
</file>

<file path=xl/ctrlProps/ctrlProp508.xml><?xml version="1.0" encoding="utf-8"?>
<formControlPr xmlns="http://schemas.microsoft.com/office/spreadsheetml/2009/9/main" objectType="CheckBox" fmlaLink="Activity!#REF!" lockText="1" noThreeD="1"/>
</file>

<file path=xl/ctrlProps/ctrlProp509.xml><?xml version="1.0" encoding="utf-8"?>
<formControlPr xmlns="http://schemas.microsoft.com/office/spreadsheetml/2009/9/main" objectType="CheckBox" fmlaLink="Activity!#REF!" lockText="1" noThreeD="1"/>
</file>

<file path=xl/ctrlProps/ctrlProp510.xml><?xml version="1.0" encoding="utf-8"?>
<formControlPr xmlns="http://schemas.microsoft.com/office/spreadsheetml/2009/9/main" objectType="CheckBox" fmlaLink="Activity!#REF!" lockText="1" noThreeD="1"/>
</file>

<file path=xl/ctrlProps/ctrlProp511.xml><?xml version="1.0" encoding="utf-8"?>
<formControlPr xmlns="http://schemas.microsoft.com/office/spreadsheetml/2009/9/main" objectType="CheckBox" fmlaLink="Activity!#REF!" lockText="1" noThreeD="1"/>
</file>

<file path=xl/ctrlProps/ctrlProp512.xml><?xml version="1.0" encoding="utf-8"?>
<formControlPr xmlns="http://schemas.microsoft.com/office/spreadsheetml/2009/9/main" objectType="CheckBox" fmlaLink="Activity!#REF!" lockText="1" noThreeD="1"/>
</file>

<file path=xl/ctrlProps/ctrlProp513.xml><?xml version="1.0" encoding="utf-8"?>
<formControlPr xmlns="http://schemas.microsoft.com/office/spreadsheetml/2009/9/main" objectType="CheckBox" fmlaLink="Activity!#REF!" lockText="1" noThreeD="1"/>
</file>

<file path=xl/ctrlProps/ctrlProp514.xml><?xml version="1.0" encoding="utf-8"?>
<formControlPr xmlns="http://schemas.microsoft.com/office/spreadsheetml/2009/9/main" objectType="CheckBox" fmlaLink="Activity!#REF!" lockText="1" noThreeD="1"/>
</file>

<file path=xl/ctrlProps/ctrlProp515.xml><?xml version="1.0" encoding="utf-8"?>
<formControlPr xmlns="http://schemas.microsoft.com/office/spreadsheetml/2009/9/main" objectType="CheckBox" fmlaLink="Activity!#REF!" lockText="1" noThreeD="1"/>
</file>

<file path=xl/ctrlProps/ctrlProp516.xml><?xml version="1.0" encoding="utf-8"?>
<formControlPr xmlns="http://schemas.microsoft.com/office/spreadsheetml/2009/9/main" objectType="CheckBox" fmlaLink="Activity!#REF!" lockText="1" noThreeD="1"/>
</file>

<file path=xl/ctrlProps/ctrlProp517.xml><?xml version="1.0" encoding="utf-8"?>
<formControlPr xmlns="http://schemas.microsoft.com/office/spreadsheetml/2009/9/main" objectType="CheckBox" fmlaLink="Activity!#REF!" lockText="1" noThreeD="1"/>
</file>

<file path=xl/ctrlProps/ctrlProp518.xml><?xml version="1.0" encoding="utf-8"?>
<formControlPr xmlns="http://schemas.microsoft.com/office/spreadsheetml/2009/9/main" objectType="CheckBox" fmlaLink="Activity!#REF!" lockText="1" noThreeD="1"/>
</file>

<file path=xl/ctrlProps/ctrlProp519.xml><?xml version="1.0" encoding="utf-8"?>
<formControlPr xmlns="http://schemas.microsoft.com/office/spreadsheetml/2009/9/main" objectType="CheckBox" fmlaLink="Activity!#REF!" lockText="1" noThreeD="1"/>
</file>

<file path=xl/ctrlProps/ctrlProp520.xml><?xml version="1.0" encoding="utf-8"?>
<formControlPr xmlns="http://schemas.microsoft.com/office/spreadsheetml/2009/9/main" objectType="CheckBox" fmlaLink="Activity!#REF!" lockText="1" noThreeD="1"/>
</file>

<file path=xl/ctrlProps/ctrlProp521.xml><?xml version="1.0" encoding="utf-8"?>
<formControlPr xmlns="http://schemas.microsoft.com/office/spreadsheetml/2009/9/main" objectType="CheckBox" fmlaLink="Activity!#REF!" lockText="1" noThreeD="1"/>
</file>

<file path=xl/ctrlProps/ctrlProp522.xml><?xml version="1.0" encoding="utf-8"?>
<formControlPr xmlns="http://schemas.microsoft.com/office/spreadsheetml/2009/9/main" objectType="CheckBox" fmlaLink="Activity!#REF!" lockText="1" noThreeD="1"/>
</file>

<file path=xl/ctrlProps/ctrlProp523.xml><?xml version="1.0" encoding="utf-8"?>
<formControlPr xmlns="http://schemas.microsoft.com/office/spreadsheetml/2009/9/main" objectType="CheckBox" fmlaLink="Activity!#REF!" lockText="1" noThreeD="1"/>
</file>

<file path=xl/ctrlProps/ctrlProp524.xml><?xml version="1.0" encoding="utf-8"?>
<formControlPr xmlns="http://schemas.microsoft.com/office/spreadsheetml/2009/9/main" objectType="CheckBox" fmlaLink="Activity!#REF!" lockText="1" noThreeD="1"/>
</file>

<file path=xl/ctrlProps/ctrlProp525.xml><?xml version="1.0" encoding="utf-8"?>
<formControlPr xmlns="http://schemas.microsoft.com/office/spreadsheetml/2009/9/main" objectType="CheckBox" fmlaLink="Activity!#REF!" lockText="1" noThreeD="1"/>
</file>

<file path=xl/ctrlProps/ctrlProp526.xml><?xml version="1.0" encoding="utf-8"?>
<formControlPr xmlns="http://schemas.microsoft.com/office/spreadsheetml/2009/9/main" objectType="CheckBox" fmlaLink="Activity!#REF!" lockText="1" noThreeD="1"/>
</file>

<file path=xl/ctrlProps/ctrlProp527.xml><?xml version="1.0" encoding="utf-8"?>
<formControlPr xmlns="http://schemas.microsoft.com/office/spreadsheetml/2009/9/main" objectType="CheckBox" fmlaLink="Activity!#REF!" lockText="1" noThreeD="1"/>
</file>

<file path=xl/ctrlProps/ctrlProp528.xml><?xml version="1.0" encoding="utf-8"?>
<formControlPr xmlns="http://schemas.microsoft.com/office/spreadsheetml/2009/9/main" objectType="CheckBox" fmlaLink="Activity!#REF!" lockText="1" noThreeD="1"/>
</file>

<file path=xl/ctrlProps/ctrlProp529.xml><?xml version="1.0" encoding="utf-8"?>
<formControlPr xmlns="http://schemas.microsoft.com/office/spreadsheetml/2009/9/main" objectType="CheckBox" fmlaLink="Activity!#REF!" lockText="1" noThreeD="1"/>
</file>

<file path=xl/ctrlProps/ctrlProp530.xml><?xml version="1.0" encoding="utf-8"?>
<formControlPr xmlns="http://schemas.microsoft.com/office/spreadsheetml/2009/9/main" objectType="CheckBox" fmlaLink="Activity!#REF!" lockText="1" noThreeD="1"/>
</file>

<file path=xl/ctrlProps/ctrlProp531.xml><?xml version="1.0" encoding="utf-8"?>
<formControlPr xmlns="http://schemas.microsoft.com/office/spreadsheetml/2009/9/main" objectType="CheckBox" fmlaLink="Activity!#REF!" lockText="1" noThreeD="1"/>
</file>

<file path=xl/ctrlProps/ctrlProp532.xml><?xml version="1.0" encoding="utf-8"?>
<formControlPr xmlns="http://schemas.microsoft.com/office/spreadsheetml/2009/9/main" objectType="CheckBox" fmlaLink="Activity!#REF!" lockText="1" noThreeD="1"/>
</file>

<file path=xl/ctrlProps/ctrlProp533.xml><?xml version="1.0" encoding="utf-8"?>
<formControlPr xmlns="http://schemas.microsoft.com/office/spreadsheetml/2009/9/main" objectType="CheckBox" fmlaLink="Activity!#REF!" lockText="1" noThreeD="1"/>
</file>

<file path=xl/ctrlProps/ctrlProp534.xml><?xml version="1.0" encoding="utf-8"?>
<formControlPr xmlns="http://schemas.microsoft.com/office/spreadsheetml/2009/9/main" objectType="CheckBox" fmlaLink="Activity!#REF!" lockText="1" noThreeD="1"/>
</file>

<file path=xl/ctrlProps/ctrlProp535.xml><?xml version="1.0" encoding="utf-8"?>
<formControlPr xmlns="http://schemas.microsoft.com/office/spreadsheetml/2009/9/main" objectType="CheckBox" fmlaLink="Activity!#REF!" lockText="1" noThreeD="1"/>
</file>

<file path=xl/ctrlProps/ctrlProp536.xml><?xml version="1.0" encoding="utf-8"?>
<formControlPr xmlns="http://schemas.microsoft.com/office/spreadsheetml/2009/9/main" objectType="CheckBox" fmlaLink="Activity!#REF!" lockText="1" noThreeD="1"/>
</file>

<file path=xl/ctrlProps/ctrlProp537.xml><?xml version="1.0" encoding="utf-8"?>
<formControlPr xmlns="http://schemas.microsoft.com/office/spreadsheetml/2009/9/main" objectType="CheckBox" fmlaLink="Activity!#REF!" lockText="1" noThreeD="1"/>
</file>

<file path=xl/ctrlProps/ctrlProp538.xml><?xml version="1.0" encoding="utf-8"?>
<formControlPr xmlns="http://schemas.microsoft.com/office/spreadsheetml/2009/9/main" objectType="CheckBox" fmlaLink="Activity!#REF!" lockText="1" noThreeD="1"/>
</file>

<file path=xl/ctrlProps/ctrlProp539.xml><?xml version="1.0" encoding="utf-8"?>
<formControlPr xmlns="http://schemas.microsoft.com/office/spreadsheetml/2009/9/main" objectType="CheckBox" fmlaLink="Activity!#REF!" lockText="1" noThreeD="1"/>
</file>

<file path=xl/ctrlProps/ctrlProp540.xml><?xml version="1.0" encoding="utf-8"?>
<formControlPr xmlns="http://schemas.microsoft.com/office/spreadsheetml/2009/9/main" objectType="CheckBox" fmlaLink="Activity!#REF!" lockText="1" noThreeD="1"/>
</file>

<file path=xl/ctrlProps/ctrlProp541.xml><?xml version="1.0" encoding="utf-8"?>
<formControlPr xmlns="http://schemas.microsoft.com/office/spreadsheetml/2009/9/main" objectType="CheckBox" fmlaLink="Activity!#REF!" lockText="1" noThreeD="1"/>
</file>

<file path=xl/ctrlProps/ctrlProp542.xml><?xml version="1.0" encoding="utf-8"?>
<formControlPr xmlns="http://schemas.microsoft.com/office/spreadsheetml/2009/9/main" objectType="CheckBox" fmlaLink="Activity!#REF!" lockText="1" noThreeD="1"/>
</file>

<file path=xl/ctrlProps/ctrlProp543.xml><?xml version="1.0" encoding="utf-8"?>
<formControlPr xmlns="http://schemas.microsoft.com/office/spreadsheetml/2009/9/main" objectType="CheckBox" fmlaLink="Activity!#REF!" lockText="1" noThreeD="1"/>
</file>

<file path=xl/ctrlProps/ctrlProp544.xml><?xml version="1.0" encoding="utf-8"?>
<formControlPr xmlns="http://schemas.microsoft.com/office/spreadsheetml/2009/9/main" objectType="CheckBox" fmlaLink="Activity!#REF!" lockText="1" noThreeD="1"/>
</file>

<file path=xl/ctrlProps/ctrlProp545.xml><?xml version="1.0" encoding="utf-8"?>
<formControlPr xmlns="http://schemas.microsoft.com/office/spreadsheetml/2009/9/main" objectType="CheckBox" fmlaLink="Activity!#REF!" lockText="1" noThreeD="1"/>
</file>

<file path=xl/ctrlProps/ctrlProp546.xml><?xml version="1.0" encoding="utf-8"?>
<formControlPr xmlns="http://schemas.microsoft.com/office/spreadsheetml/2009/9/main" objectType="CheckBox" fmlaLink="Activity!#REF!" lockText="1" noThreeD="1"/>
</file>

<file path=xl/ctrlProps/ctrlProp547.xml><?xml version="1.0" encoding="utf-8"?>
<formControlPr xmlns="http://schemas.microsoft.com/office/spreadsheetml/2009/9/main" objectType="CheckBox" fmlaLink="Activity!#REF!" lockText="1" noThreeD="1"/>
</file>

<file path=xl/ctrlProps/ctrlProp548.xml><?xml version="1.0" encoding="utf-8"?>
<formControlPr xmlns="http://schemas.microsoft.com/office/spreadsheetml/2009/9/main" objectType="CheckBox" fmlaLink="Activity!#REF!" lockText="1" noThreeD="1"/>
</file>

<file path=xl/ctrlProps/ctrlProp549.xml><?xml version="1.0" encoding="utf-8"?>
<formControlPr xmlns="http://schemas.microsoft.com/office/spreadsheetml/2009/9/main" objectType="CheckBox" fmlaLink="Activity!#REF!" lockText="1" noThreeD="1"/>
</file>

<file path=xl/ctrlProps/ctrlProp550.xml><?xml version="1.0" encoding="utf-8"?>
<formControlPr xmlns="http://schemas.microsoft.com/office/spreadsheetml/2009/9/main" objectType="CheckBox" fmlaLink="Activity!#REF!" lockText="1" noThreeD="1"/>
</file>

<file path=xl/ctrlProps/ctrlProp551.xml><?xml version="1.0" encoding="utf-8"?>
<formControlPr xmlns="http://schemas.microsoft.com/office/spreadsheetml/2009/9/main" objectType="CheckBox" fmlaLink="Activity!#REF!" lockText="1" noThreeD="1"/>
</file>

<file path=xl/ctrlProps/ctrlProp552.xml><?xml version="1.0" encoding="utf-8"?>
<formControlPr xmlns="http://schemas.microsoft.com/office/spreadsheetml/2009/9/main" objectType="CheckBox" fmlaLink="Activity!#REF!" lockText="1" noThreeD="1"/>
</file>

<file path=xl/ctrlProps/ctrlProp553.xml><?xml version="1.0" encoding="utf-8"?>
<formControlPr xmlns="http://schemas.microsoft.com/office/spreadsheetml/2009/9/main" objectType="CheckBox" fmlaLink="Activity!#REF!" lockText="1" noThreeD="1"/>
</file>

<file path=xl/ctrlProps/ctrlProp554.xml><?xml version="1.0" encoding="utf-8"?>
<formControlPr xmlns="http://schemas.microsoft.com/office/spreadsheetml/2009/9/main" objectType="CheckBox" fmlaLink="Activity!#REF!" lockText="1" noThreeD="1"/>
</file>

<file path=xl/ctrlProps/ctrlProp555.xml><?xml version="1.0" encoding="utf-8"?>
<formControlPr xmlns="http://schemas.microsoft.com/office/spreadsheetml/2009/9/main" objectType="CheckBox" fmlaLink="Activity!#REF!" lockText="1" noThreeD="1"/>
</file>

<file path=xl/ctrlProps/ctrlProp556.xml><?xml version="1.0" encoding="utf-8"?>
<formControlPr xmlns="http://schemas.microsoft.com/office/spreadsheetml/2009/9/main" objectType="CheckBox" fmlaLink="Activity!#REF!" lockText="1" noThreeD="1"/>
</file>

<file path=xl/ctrlProps/ctrlProp557.xml><?xml version="1.0" encoding="utf-8"?>
<formControlPr xmlns="http://schemas.microsoft.com/office/spreadsheetml/2009/9/main" objectType="CheckBox" fmlaLink="Activity!#REF!" lockText="1" noThreeD="1"/>
</file>

<file path=xl/ctrlProps/ctrlProp558.xml><?xml version="1.0" encoding="utf-8"?>
<formControlPr xmlns="http://schemas.microsoft.com/office/spreadsheetml/2009/9/main" objectType="CheckBox" fmlaLink="Activity!#REF!" lockText="1" noThreeD="1"/>
</file>

<file path=xl/ctrlProps/ctrlProp559.xml><?xml version="1.0" encoding="utf-8"?>
<formControlPr xmlns="http://schemas.microsoft.com/office/spreadsheetml/2009/9/main" objectType="CheckBox" fmlaLink="Activity!#REF!" lockText="1" noThreeD="1"/>
</file>

<file path=xl/ctrlProps/ctrlProp560.xml><?xml version="1.0" encoding="utf-8"?>
<formControlPr xmlns="http://schemas.microsoft.com/office/spreadsheetml/2009/9/main" objectType="CheckBox" fmlaLink="Activity!#REF!" lockText="1" noThreeD="1"/>
</file>

<file path=xl/ctrlProps/ctrlProp561.xml><?xml version="1.0" encoding="utf-8"?>
<formControlPr xmlns="http://schemas.microsoft.com/office/spreadsheetml/2009/9/main" objectType="CheckBox" fmlaLink="Activity!#REF!" lockText="1" noThreeD="1"/>
</file>

<file path=xl/ctrlProps/ctrlProp562.xml><?xml version="1.0" encoding="utf-8"?>
<formControlPr xmlns="http://schemas.microsoft.com/office/spreadsheetml/2009/9/main" objectType="CheckBox" fmlaLink="Activity!#REF!" lockText="1" noThreeD="1"/>
</file>

<file path=xl/ctrlProps/ctrlProp563.xml><?xml version="1.0" encoding="utf-8"?>
<formControlPr xmlns="http://schemas.microsoft.com/office/spreadsheetml/2009/9/main" objectType="CheckBox" fmlaLink="Activity!#REF!" lockText="1" noThreeD="1"/>
</file>

<file path=xl/ctrlProps/ctrlProp564.xml><?xml version="1.0" encoding="utf-8"?>
<formControlPr xmlns="http://schemas.microsoft.com/office/spreadsheetml/2009/9/main" objectType="CheckBox" fmlaLink="Activity!#REF!" lockText="1" noThreeD="1"/>
</file>

<file path=xl/ctrlProps/ctrlProp565.xml><?xml version="1.0" encoding="utf-8"?>
<formControlPr xmlns="http://schemas.microsoft.com/office/spreadsheetml/2009/9/main" objectType="CheckBox" fmlaLink="Activity!#REF!" lockText="1" noThreeD="1"/>
</file>

<file path=xl/ctrlProps/ctrlProp566.xml><?xml version="1.0" encoding="utf-8"?>
<formControlPr xmlns="http://schemas.microsoft.com/office/spreadsheetml/2009/9/main" objectType="CheckBox" fmlaLink="Activity!#REF!" lockText="1" noThreeD="1"/>
</file>

<file path=xl/ctrlProps/ctrlProp567.xml><?xml version="1.0" encoding="utf-8"?>
<formControlPr xmlns="http://schemas.microsoft.com/office/spreadsheetml/2009/9/main" objectType="CheckBox" fmlaLink="Activity!#REF!" lockText="1" noThreeD="1"/>
</file>

<file path=xl/ctrlProps/ctrlProp568.xml><?xml version="1.0" encoding="utf-8"?>
<formControlPr xmlns="http://schemas.microsoft.com/office/spreadsheetml/2009/9/main" objectType="CheckBox" fmlaLink="Activity!#REF!" lockText="1" noThreeD="1"/>
</file>

<file path=xl/ctrlProps/ctrlProp569.xml><?xml version="1.0" encoding="utf-8"?>
<formControlPr xmlns="http://schemas.microsoft.com/office/spreadsheetml/2009/9/main" objectType="CheckBox" fmlaLink="Activity!#REF!" lockText="1" noThreeD="1"/>
</file>

<file path=xl/ctrlProps/ctrlProp570.xml><?xml version="1.0" encoding="utf-8"?>
<formControlPr xmlns="http://schemas.microsoft.com/office/spreadsheetml/2009/9/main" objectType="CheckBox" fmlaLink="Activity!#REF!" lockText="1" noThreeD="1"/>
</file>

<file path=xl/ctrlProps/ctrlProp571.xml><?xml version="1.0" encoding="utf-8"?>
<formControlPr xmlns="http://schemas.microsoft.com/office/spreadsheetml/2009/9/main" objectType="CheckBox" fmlaLink="Activity!#REF!" lockText="1" noThreeD="1"/>
</file>

<file path=xl/ctrlProps/ctrlProp572.xml><?xml version="1.0" encoding="utf-8"?>
<formControlPr xmlns="http://schemas.microsoft.com/office/spreadsheetml/2009/9/main" objectType="CheckBox" fmlaLink="Activity!#REF!" lockText="1" noThreeD="1"/>
</file>

<file path=xl/ctrlProps/ctrlProp573.xml><?xml version="1.0" encoding="utf-8"?>
<formControlPr xmlns="http://schemas.microsoft.com/office/spreadsheetml/2009/9/main" objectType="CheckBox" fmlaLink="Activity!#REF!" lockText="1" noThreeD="1"/>
</file>

<file path=xl/ctrlProps/ctrlProp574.xml><?xml version="1.0" encoding="utf-8"?>
<formControlPr xmlns="http://schemas.microsoft.com/office/spreadsheetml/2009/9/main" objectType="CheckBox" fmlaLink="Activity!#REF!" lockText="1" noThreeD="1"/>
</file>

<file path=xl/ctrlProps/ctrlProp575.xml><?xml version="1.0" encoding="utf-8"?>
<formControlPr xmlns="http://schemas.microsoft.com/office/spreadsheetml/2009/9/main" objectType="CheckBox" fmlaLink="Activity!#REF!" lockText="1" noThreeD="1"/>
</file>

<file path=xl/ctrlProps/ctrlProp576.xml><?xml version="1.0" encoding="utf-8"?>
<formControlPr xmlns="http://schemas.microsoft.com/office/spreadsheetml/2009/9/main" objectType="CheckBox" fmlaLink="Activity!#REF!" lockText="1" noThreeD="1"/>
</file>

<file path=xl/ctrlProps/ctrlProp577.xml><?xml version="1.0" encoding="utf-8"?>
<formControlPr xmlns="http://schemas.microsoft.com/office/spreadsheetml/2009/9/main" objectType="CheckBox" fmlaLink="Activity!#REF!" lockText="1" noThreeD="1"/>
</file>

<file path=xl/ctrlProps/ctrlProp578.xml><?xml version="1.0" encoding="utf-8"?>
<formControlPr xmlns="http://schemas.microsoft.com/office/spreadsheetml/2009/9/main" objectType="CheckBox" fmlaLink="Activity!#REF!" lockText="1" noThreeD="1"/>
</file>

<file path=xl/ctrlProps/ctrlProp579.xml><?xml version="1.0" encoding="utf-8"?>
<formControlPr xmlns="http://schemas.microsoft.com/office/spreadsheetml/2009/9/main" objectType="CheckBox" fmlaLink="Activity!#REF!" lockText="1" noThreeD="1"/>
</file>

<file path=xl/ctrlProps/ctrlProp580.xml><?xml version="1.0" encoding="utf-8"?>
<formControlPr xmlns="http://schemas.microsoft.com/office/spreadsheetml/2009/9/main" objectType="CheckBox" fmlaLink="Activity!#REF!" lockText="1" noThreeD="1"/>
</file>

<file path=xl/ctrlProps/ctrlProp581.xml><?xml version="1.0" encoding="utf-8"?>
<formControlPr xmlns="http://schemas.microsoft.com/office/spreadsheetml/2009/9/main" objectType="CheckBox" fmlaLink="Activity!#REF!" lockText="1" noThreeD="1"/>
</file>

<file path=xl/ctrlProps/ctrlProp582.xml><?xml version="1.0" encoding="utf-8"?>
<formControlPr xmlns="http://schemas.microsoft.com/office/spreadsheetml/2009/9/main" objectType="CheckBox" fmlaLink="Activity!#REF!" lockText="1" noThreeD="1"/>
</file>

<file path=xl/ctrlProps/ctrlProp583.xml><?xml version="1.0" encoding="utf-8"?>
<formControlPr xmlns="http://schemas.microsoft.com/office/spreadsheetml/2009/9/main" objectType="CheckBox" fmlaLink="Activity!#REF!" lockText="1" noThreeD="1"/>
</file>

<file path=xl/ctrlProps/ctrlProp584.xml><?xml version="1.0" encoding="utf-8"?>
<formControlPr xmlns="http://schemas.microsoft.com/office/spreadsheetml/2009/9/main" objectType="CheckBox" fmlaLink="Activity!#REF!" lockText="1" noThreeD="1"/>
</file>

<file path=xl/ctrlProps/ctrlProp585.xml><?xml version="1.0" encoding="utf-8"?>
<formControlPr xmlns="http://schemas.microsoft.com/office/spreadsheetml/2009/9/main" objectType="CheckBox" fmlaLink="Activity!#REF!" lockText="1" noThreeD="1"/>
</file>

<file path=xl/ctrlProps/ctrlProp586.xml><?xml version="1.0" encoding="utf-8"?>
<formControlPr xmlns="http://schemas.microsoft.com/office/spreadsheetml/2009/9/main" objectType="CheckBox" fmlaLink="Activity!#REF!" lockText="1" noThreeD="1"/>
</file>

<file path=xl/ctrlProps/ctrlProp587.xml><?xml version="1.0" encoding="utf-8"?>
<formControlPr xmlns="http://schemas.microsoft.com/office/spreadsheetml/2009/9/main" objectType="CheckBox" fmlaLink="Activity!#REF!" lockText="1" noThreeD="1"/>
</file>

<file path=xl/ctrlProps/ctrlProp588.xml><?xml version="1.0" encoding="utf-8"?>
<formControlPr xmlns="http://schemas.microsoft.com/office/spreadsheetml/2009/9/main" objectType="CheckBox" fmlaLink="Activity!#REF!" lockText="1" noThreeD="1"/>
</file>

<file path=xl/ctrlProps/ctrlProp589.xml><?xml version="1.0" encoding="utf-8"?>
<formControlPr xmlns="http://schemas.microsoft.com/office/spreadsheetml/2009/9/main" objectType="CheckBox" fmlaLink="Activity!#REF!" lockText="1" noThreeD="1"/>
</file>

<file path=xl/ctrlProps/ctrlProp590.xml><?xml version="1.0" encoding="utf-8"?>
<formControlPr xmlns="http://schemas.microsoft.com/office/spreadsheetml/2009/9/main" objectType="CheckBox" fmlaLink="Activity!#REF!" lockText="1" noThreeD="1"/>
</file>

<file path=xl/ctrlProps/ctrlProp591.xml><?xml version="1.0" encoding="utf-8"?>
<formControlPr xmlns="http://schemas.microsoft.com/office/spreadsheetml/2009/9/main" objectType="CheckBox" fmlaLink="Activity!#REF!" lockText="1" noThreeD="1"/>
</file>

<file path=xl/ctrlProps/ctrlProp592.xml><?xml version="1.0" encoding="utf-8"?>
<formControlPr xmlns="http://schemas.microsoft.com/office/spreadsheetml/2009/9/main" objectType="CheckBox" fmlaLink="Activity!#REF!" lockText="1" noThreeD="1"/>
</file>

<file path=xl/ctrlProps/ctrlProp593.xml><?xml version="1.0" encoding="utf-8"?>
<formControlPr xmlns="http://schemas.microsoft.com/office/spreadsheetml/2009/9/main" objectType="CheckBox" fmlaLink="Activity!#REF!" lockText="1" noThreeD="1"/>
</file>

<file path=xl/ctrlProps/ctrlProp594.xml><?xml version="1.0" encoding="utf-8"?>
<formControlPr xmlns="http://schemas.microsoft.com/office/spreadsheetml/2009/9/main" objectType="CheckBox" fmlaLink="Activity!#REF!" lockText="1" noThreeD="1"/>
</file>

<file path=xl/ctrlProps/ctrlProp595.xml><?xml version="1.0" encoding="utf-8"?>
<formControlPr xmlns="http://schemas.microsoft.com/office/spreadsheetml/2009/9/main" objectType="CheckBox" fmlaLink="Activity!#REF!" lockText="1" noThreeD="1"/>
</file>

<file path=xl/ctrlProps/ctrlProp596.xml><?xml version="1.0" encoding="utf-8"?>
<formControlPr xmlns="http://schemas.microsoft.com/office/spreadsheetml/2009/9/main" objectType="CheckBox" fmlaLink="Activity!#REF!" lockText="1" noThreeD="1"/>
</file>

<file path=xl/ctrlProps/ctrlProp597.xml><?xml version="1.0" encoding="utf-8"?>
<formControlPr xmlns="http://schemas.microsoft.com/office/spreadsheetml/2009/9/main" objectType="CheckBox" fmlaLink="Activity!#REF!" lockText="1" noThreeD="1"/>
</file>

<file path=xl/ctrlProps/ctrlProp598.xml><?xml version="1.0" encoding="utf-8"?>
<formControlPr xmlns="http://schemas.microsoft.com/office/spreadsheetml/2009/9/main" objectType="CheckBox" fmlaLink="Activity!#REF!" lockText="1" noThreeD="1"/>
</file>

<file path=xl/ctrlProps/ctrlProp599.xml><?xml version="1.0" encoding="utf-8"?>
<formControlPr xmlns="http://schemas.microsoft.com/office/spreadsheetml/2009/9/main" objectType="CheckBox" fmlaLink="Activity!#REF!" lockText="1" noThreeD="1"/>
</file>

<file path=xl/ctrlProps/ctrlProp600.xml><?xml version="1.0" encoding="utf-8"?>
<formControlPr xmlns="http://schemas.microsoft.com/office/spreadsheetml/2009/9/main" objectType="CheckBox" fmlaLink="Activity!#REF!" lockText="1" noThreeD="1"/>
</file>

<file path=xl/ctrlProps/ctrlProp601.xml><?xml version="1.0" encoding="utf-8"?>
<formControlPr xmlns="http://schemas.microsoft.com/office/spreadsheetml/2009/9/main" objectType="CheckBox" fmlaLink="Activity!#REF!" lockText="1" noThreeD="1"/>
</file>

<file path=xl/ctrlProps/ctrlProp602.xml><?xml version="1.0" encoding="utf-8"?>
<formControlPr xmlns="http://schemas.microsoft.com/office/spreadsheetml/2009/9/main" objectType="CheckBox" fmlaLink="Activity!#REF!" lockText="1" noThreeD="1"/>
</file>

<file path=xl/ctrlProps/ctrlProp603.xml><?xml version="1.0" encoding="utf-8"?>
<formControlPr xmlns="http://schemas.microsoft.com/office/spreadsheetml/2009/9/main" objectType="CheckBox" fmlaLink="Activity!#REF!" lockText="1" noThreeD="1"/>
</file>

<file path=xl/ctrlProps/ctrlProp604.xml><?xml version="1.0" encoding="utf-8"?>
<formControlPr xmlns="http://schemas.microsoft.com/office/spreadsheetml/2009/9/main" objectType="CheckBox" fmlaLink="Activity!#REF!" lockText="1" noThreeD="1"/>
</file>

<file path=xl/ctrlProps/ctrlProp605.xml><?xml version="1.0" encoding="utf-8"?>
<formControlPr xmlns="http://schemas.microsoft.com/office/spreadsheetml/2009/9/main" objectType="CheckBox" fmlaLink="Activity!#REF!" lockText="1" noThreeD="1"/>
</file>

<file path=xl/ctrlProps/ctrlProp606.xml><?xml version="1.0" encoding="utf-8"?>
<formControlPr xmlns="http://schemas.microsoft.com/office/spreadsheetml/2009/9/main" objectType="CheckBox" fmlaLink="Activity!#REF!" lockText="1" noThreeD="1"/>
</file>

<file path=xl/ctrlProps/ctrlProp607.xml><?xml version="1.0" encoding="utf-8"?>
<formControlPr xmlns="http://schemas.microsoft.com/office/spreadsheetml/2009/9/main" objectType="CheckBox" fmlaLink="Activity!#REF!" lockText="1" noThreeD="1"/>
</file>

<file path=xl/ctrlProps/ctrlProp608.xml><?xml version="1.0" encoding="utf-8"?>
<formControlPr xmlns="http://schemas.microsoft.com/office/spreadsheetml/2009/9/main" objectType="CheckBox" fmlaLink="Activity!#REF!" lockText="1" noThreeD="1"/>
</file>

<file path=xl/ctrlProps/ctrlProp609.xml><?xml version="1.0" encoding="utf-8"?>
<formControlPr xmlns="http://schemas.microsoft.com/office/spreadsheetml/2009/9/main" objectType="CheckBox" fmlaLink="Activity!#REF!" lockText="1" noThreeD="1"/>
</file>

<file path=xl/ctrlProps/ctrlProp610.xml><?xml version="1.0" encoding="utf-8"?>
<formControlPr xmlns="http://schemas.microsoft.com/office/spreadsheetml/2009/9/main" objectType="CheckBox" fmlaLink="Activity!#REF!" lockText="1" noThreeD="1"/>
</file>

<file path=xl/ctrlProps/ctrlProp611.xml><?xml version="1.0" encoding="utf-8"?>
<formControlPr xmlns="http://schemas.microsoft.com/office/spreadsheetml/2009/9/main" objectType="CheckBox" fmlaLink="Activity!#REF!" lockText="1" noThreeD="1"/>
</file>

<file path=xl/ctrlProps/ctrlProp612.xml><?xml version="1.0" encoding="utf-8"?>
<formControlPr xmlns="http://schemas.microsoft.com/office/spreadsheetml/2009/9/main" objectType="CheckBox" fmlaLink="Activity!#REF!" lockText="1" noThreeD="1"/>
</file>

<file path=xl/ctrlProps/ctrlProp613.xml><?xml version="1.0" encoding="utf-8"?>
<formControlPr xmlns="http://schemas.microsoft.com/office/spreadsheetml/2009/9/main" objectType="CheckBox" fmlaLink="Activity!#REF!" lockText="1" noThreeD="1"/>
</file>

<file path=xl/ctrlProps/ctrlProp614.xml><?xml version="1.0" encoding="utf-8"?>
<formControlPr xmlns="http://schemas.microsoft.com/office/spreadsheetml/2009/9/main" objectType="CheckBox" fmlaLink="Activity!#REF!" lockText="1" noThreeD="1"/>
</file>

<file path=xl/ctrlProps/ctrlProp615.xml><?xml version="1.0" encoding="utf-8"?>
<formControlPr xmlns="http://schemas.microsoft.com/office/spreadsheetml/2009/9/main" objectType="CheckBox" fmlaLink="Activity!#REF!" lockText="1" noThreeD="1"/>
</file>

<file path=xl/ctrlProps/ctrlProp616.xml><?xml version="1.0" encoding="utf-8"?>
<formControlPr xmlns="http://schemas.microsoft.com/office/spreadsheetml/2009/9/main" objectType="CheckBox" fmlaLink="Activity!#REF!" lockText="1" noThreeD="1"/>
</file>

<file path=xl/ctrlProps/ctrlProp617.xml><?xml version="1.0" encoding="utf-8"?>
<formControlPr xmlns="http://schemas.microsoft.com/office/spreadsheetml/2009/9/main" objectType="CheckBox" fmlaLink="Activity!#REF!" lockText="1" noThreeD="1"/>
</file>

<file path=xl/ctrlProps/ctrlProp618.xml><?xml version="1.0" encoding="utf-8"?>
<formControlPr xmlns="http://schemas.microsoft.com/office/spreadsheetml/2009/9/main" objectType="CheckBox" fmlaLink="Activity!#REF!" lockText="1" noThreeD="1"/>
</file>

<file path=xl/ctrlProps/ctrlProp619.xml><?xml version="1.0" encoding="utf-8"?>
<formControlPr xmlns="http://schemas.microsoft.com/office/spreadsheetml/2009/9/main" objectType="CheckBox" fmlaLink="Activity!#REF!" lockText="1" noThreeD="1"/>
</file>

<file path=xl/ctrlProps/ctrlProp620.xml><?xml version="1.0" encoding="utf-8"?>
<formControlPr xmlns="http://schemas.microsoft.com/office/spreadsheetml/2009/9/main" objectType="CheckBox" fmlaLink="Activity!#REF!" lockText="1" noThreeD="1"/>
</file>

<file path=xl/ctrlProps/ctrlProp621.xml><?xml version="1.0" encoding="utf-8"?>
<formControlPr xmlns="http://schemas.microsoft.com/office/spreadsheetml/2009/9/main" objectType="CheckBox" fmlaLink="Activity!#REF!" lockText="1" noThreeD="1"/>
</file>

<file path=xl/ctrlProps/ctrlProp622.xml><?xml version="1.0" encoding="utf-8"?>
<formControlPr xmlns="http://schemas.microsoft.com/office/spreadsheetml/2009/9/main" objectType="CheckBox" fmlaLink="Activity!#REF!" lockText="1" noThreeD="1"/>
</file>

<file path=xl/ctrlProps/ctrlProp623.xml><?xml version="1.0" encoding="utf-8"?>
<formControlPr xmlns="http://schemas.microsoft.com/office/spreadsheetml/2009/9/main" objectType="CheckBox" fmlaLink="Activity!#REF!" lockText="1" noThreeD="1"/>
</file>

<file path=xl/ctrlProps/ctrlProp624.xml><?xml version="1.0" encoding="utf-8"?>
<formControlPr xmlns="http://schemas.microsoft.com/office/spreadsheetml/2009/9/main" objectType="CheckBox" fmlaLink="Activity!#REF!" lockText="1" noThreeD="1"/>
</file>

<file path=xl/ctrlProps/ctrlProp625.xml><?xml version="1.0" encoding="utf-8"?>
<formControlPr xmlns="http://schemas.microsoft.com/office/spreadsheetml/2009/9/main" objectType="CheckBox" fmlaLink="Activity!#REF!" lockText="1" noThreeD="1"/>
</file>

<file path=xl/ctrlProps/ctrlProp626.xml><?xml version="1.0" encoding="utf-8"?>
<formControlPr xmlns="http://schemas.microsoft.com/office/spreadsheetml/2009/9/main" objectType="CheckBox" fmlaLink="Activity!#REF!" lockText="1" noThreeD="1"/>
</file>

<file path=xl/ctrlProps/ctrlProp627.xml><?xml version="1.0" encoding="utf-8"?>
<formControlPr xmlns="http://schemas.microsoft.com/office/spreadsheetml/2009/9/main" objectType="CheckBox" fmlaLink="Activity!#REF!" lockText="1" noThreeD="1"/>
</file>

<file path=xl/ctrlProps/ctrlProp628.xml><?xml version="1.0" encoding="utf-8"?>
<formControlPr xmlns="http://schemas.microsoft.com/office/spreadsheetml/2009/9/main" objectType="CheckBox" fmlaLink="Activity!#REF!" lockText="1" noThreeD="1"/>
</file>

<file path=xl/ctrlProps/ctrlProp629.xml><?xml version="1.0" encoding="utf-8"?>
<formControlPr xmlns="http://schemas.microsoft.com/office/spreadsheetml/2009/9/main" objectType="CheckBox" fmlaLink="Activity!#REF!" lockText="1" noThreeD="1"/>
</file>

<file path=xl/ctrlProps/ctrlProp630.xml><?xml version="1.0" encoding="utf-8"?>
<formControlPr xmlns="http://schemas.microsoft.com/office/spreadsheetml/2009/9/main" objectType="CheckBox" fmlaLink="Activity!#REF!" lockText="1" noThreeD="1"/>
</file>

<file path=xl/ctrlProps/ctrlProp631.xml><?xml version="1.0" encoding="utf-8"?>
<formControlPr xmlns="http://schemas.microsoft.com/office/spreadsheetml/2009/9/main" objectType="CheckBox" fmlaLink="Activity!#REF!" lockText="1" noThreeD="1"/>
</file>

<file path=xl/ctrlProps/ctrlProp632.xml><?xml version="1.0" encoding="utf-8"?>
<formControlPr xmlns="http://schemas.microsoft.com/office/spreadsheetml/2009/9/main" objectType="CheckBox" fmlaLink="Activity!#REF!" lockText="1" noThreeD="1"/>
</file>

<file path=xl/ctrlProps/ctrlProp633.xml><?xml version="1.0" encoding="utf-8"?>
<formControlPr xmlns="http://schemas.microsoft.com/office/spreadsheetml/2009/9/main" objectType="CheckBox" fmlaLink="Activity!#REF!" lockText="1" noThreeD="1"/>
</file>

<file path=xl/ctrlProps/ctrlProp634.xml><?xml version="1.0" encoding="utf-8"?>
<formControlPr xmlns="http://schemas.microsoft.com/office/spreadsheetml/2009/9/main" objectType="CheckBox" fmlaLink="Activity!#REF!" lockText="1" noThreeD="1"/>
</file>

<file path=xl/ctrlProps/ctrlProp635.xml><?xml version="1.0" encoding="utf-8"?>
<formControlPr xmlns="http://schemas.microsoft.com/office/spreadsheetml/2009/9/main" objectType="CheckBox" fmlaLink="Activity!#REF!" lockText="1" noThreeD="1"/>
</file>

<file path=xl/ctrlProps/ctrlProp636.xml><?xml version="1.0" encoding="utf-8"?>
<formControlPr xmlns="http://schemas.microsoft.com/office/spreadsheetml/2009/9/main" objectType="CheckBox" fmlaLink="Activity!#REF!" lockText="1" noThreeD="1"/>
</file>

<file path=xl/ctrlProps/ctrlProp637.xml><?xml version="1.0" encoding="utf-8"?>
<formControlPr xmlns="http://schemas.microsoft.com/office/spreadsheetml/2009/9/main" objectType="CheckBox" fmlaLink="Activity!#REF!" lockText="1" noThreeD="1"/>
</file>

<file path=xl/ctrlProps/ctrlProp638.xml><?xml version="1.0" encoding="utf-8"?>
<formControlPr xmlns="http://schemas.microsoft.com/office/spreadsheetml/2009/9/main" objectType="CheckBox" fmlaLink="Activity!#REF!" lockText="1" noThreeD="1"/>
</file>

<file path=xl/ctrlProps/ctrlProp639.xml><?xml version="1.0" encoding="utf-8"?>
<formControlPr xmlns="http://schemas.microsoft.com/office/spreadsheetml/2009/9/main" objectType="CheckBox" fmlaLink="Activity!#REF!" lockText="1" noThreeD="1"/>
</file>

<file path=xl/ctrlProps/ctrlProp640.xml><?xml version="1.0" encoding="utf-8"?>
<formControlPr xmlns="http://schemas.microsoft.com/office/spreadsheetml/2009/9/main" objectType="CheckBox" fmlaLink="Activity!#REF!" lockText="1" noThreeD="1"/>
</file>

<file path=xl/ctrlProps/ctrlProp641.xml><?xml version="1.0" encoding="utf-8"?>
<formControlPr xmlns="http://schemas.microsoft.com/office/spreadsheetml/2009/9/main" objectType="CheckBox" fmlaLink="Activity!#REF!" lockText="1" noThreeD="1"/>
</file>

<file path=xl/ctrlProps/ctrlProp642.xml><?xml version="1.0" encoding="utf-8"?>
<formControlPr xmlns="http://schemas.microsoft.com/office/spreadsheetml/2009/9/main" objectType="CheckBox" fmlaLink="Activity!#REF!" lockText="1" noThreeD="1"/>
</file>

<file path=xl/ctrlProps/ctrlProp643.xml><?xml version="1.0" encoding="utf-8"?>
<formControlPr xmlns="http://schemas.microsoft.com/office/spreadsheetml/2009/9/main" objectType="CheckBox" fmlaLink="Activity!#REF!" lockText="1" noThreeD="1"/>
</file>

<file path=xl/ctrlProps/ctrlProp644.xml><?xml version="1.0" encoding="utf-8"?>
<formControlPr xmlns="http://schemas.microsoft.com/office/spreadsheetml/2009/9/main" objectType="CheckBox" fmlaLink="Activity!#REF!" lockText="1" noThreeD="1"/>
</file>

<file path=xl/ctrlProps/ctrlProp645.xml><?xml version="1.0" encoding="utf-8"?>
<formControlPr xmlns="http://schemas.microsoft.com/office/spreadsheetml/2009/9/main" objectType="CheckBox" fmlaLink="Activity!#REF!" lockText="1" noThreeD="1"/>
</file>

<file path=xl/ctrlProps/ctrlProp646.xml><?xml version="1.0" encoding="utf-8"?>
<formControlPr xmlns="http://schemas.microsoft.com/office/spreadsheetml/2009/9/main" objectType="CheckBox" fmlaLink="Activity!#REF!" lockText="1" noThreeD="1"/>
</file>

<file path=xl/ctrlProps/ctrlProp647.xml><?xml version="1.0" encoding="utf-8"?>
<formControlPr xmlns="http://schemas.microsoft.com/office/spreadsheetml/2009/9/main" objectType="CheckBox" fmlaLink="Activity!#REF!" lockText="1" noThreeD="1"/>
</file>

<file path=xl/ctrlProps/ctrlProp648.xml><?xml version="1.0" encoding="utf-8"?>
<formControlPr xmlns="http://schemas.microsoft.com/office/spreadsheetml/2009/9/main" objectType="CheckBox" fmlaLink="Activity!#REF!" lockText="1" noThreeD="1"/>
</file>

<file path=xl/ctrlProps/ctrlProp649.xml><?xml version="1.0" encoding="utf-8"?>
<formControlPr xmlns="http://schemas.microsoft.com/office/spreadsheetml/2009/9/main" objectType="CheckBox" fmlaLink="Activity!#REF!" lockText="1" noThreeD="1"/>
</file>

<file path=xl/ctrlProps/ctrlProp650.xml><?xml version="1.0" encoding="utf-8"?>
<formControlPr xmlns="http://schemas.microsoft.com/office/spreadsheetml/2009/9/main" objectType="CheckBox" fmlaLink="Activity!#REF!" lockText="1" noThreeD="1"/>
</file>

<file path=xl/ctrlProps/ctrlProp651.xml><?xml version="1.0" encoding="utf-8"?>
<formControlPr xmlns="http://schemas.microsoft.com/office/spreadsheetml/2009/9/main" objectType="CheckBox" fmlaLink="Activity!#REF!" lockText="1" noThreeD="1"/>
</file>

<file path=xl/ctrlProps/ctrlProp652.xml><?xml version="1.0" encoding="utf-8"?>
<formControlPr xmlns="http://schemas.microsoft.com/office/spreadsheetml/2009/9/main" objectType="CheckBox" fmlaLink="Activity!#REF!" lockText="1" noThreeD="1"/>
</file>

<file path=xl/ctrlProps/ctrlProp653.xml><?xml version="1.0" encoding="utf-8"?>
<formControlPr xmlns="http://schemas.microsoft.com/office/spreadsheetml/2009/9/main" objectType="CheckBox" fmlaLink="Activity!#REF!" lockText="1" noThreeD="1"/>
</file>

<file path=xl/ctrlProps/ctrlProp654.xml><?xml version="1.0" encoding="utf-8"?>
<formControlPr xmlns="http://schemas.microsoft.com/office/spreadsheetml/2009/9/main" objectType="CheckBox" fmlaLink="Activity!#REF!" lockText="1" noThreeD="1"/>
</file>

<file path=xl/ctrlProps/ctrlProp655.xml><?xml version="1.0" encoding="utf-8"?>
<formControlPr xmlns="http://schemas.microsoft.com/office/spreadsheetml/2009/9/main" objectType="CheckBox" fmlaLink="Activity!#REF!" lockText="1" noThreeD="1"/>
</file>

<file path=xl/ctrlProps/ctrlProp656.xml><?xml version="1.0" encoding="utf-8"?>
<formControlPr xmlns="http://schemas.microsoft.com/office/spreadsheetml/2009/9/main" objectType="CheckBox" fmlaLink="Activity!#REF!" lockText="1" noThreeD="1"/>
</file>

<file path=xl/ctrlProps/ctrlProp657.xml><?xml version="1.0" encoding="utf-8"?>
<formControlPr xmlns="http://schemas.microsoft.com/office/spreadsheetml/2009/9/main" objectType="CheckBox" fmlaLink="Activity!#REF!" lockText="1" noThreeD="1"/>
</file>

<file path=xl/ctrlProps/ctrlProp658.xml><?xml version="1.0" encoding="utf-8"?>
<formControlPr xmlns="http://schemas.microsoft.com/office/spreadsheetml/2009/9/main" objectType="CheckBox" fmlaLink="Activity!#REF!" lockText="1" noThreeD="1"/>
</file>

<file path=xl/ctrlProps/ctrlProp659.xml><?xml version="1.0" encoding="utf-8"?>
<formControlPr xmlns="http://schemas.microsoft.com/office/spreadsheetml/2009/9/main" objectType="CheckBox" fmlaLink="Activity!#REF!" lockText="1" noThreeD="1"/>
</file>

<file path=xl/ctrlProps/ctrlProp660.xml><?xml version="1.0" encoding="utf-8"?>
<formControlPr xmlns="http://schemas.microsoft.com/office/spreadsheetml/2009/9/main" objectType="CheckBox" fmlaLink="Activity!#REF!" lockText="1" noThreeD="1"/>
</file>

<file path=xl/ctrlProps/ctrlProp661.xml><?xml version="1.0" encoding="utf-8"?>
<formControlPr xmlns="http://schemas.microsoft.com/office/spreadsheetml/2009/9/main" objectType="CheckBox" fmlaLink="Activity!#REF!" lockText="1" noThreeD="1"/>
</file>

<file path=xl/ctrlProps/ctrlProp662.xml><?xml version="1.0" encoding="utf-8"?>
<formControlPr xmlns="http://schemas.microsoft.com/office/spreadsheetml/2009/9/main" objectType="CheckBox" fmlaLink="Activity!#REF!" lockText="1" noThreeD="1"/>
</file>

<file path=xl/ctrlProps/ctrlProp663.xml><?xml version="1.0" encoding="utf-8"?>
<formControlPr xmlns="http://schemas.microsoft.com/office/spreadsheetml/2009/9/main" objectType="CheckBox" fmlaLink="Activity!#REF!" lockText="1" noThreeD="1"/>
</file>

<file path=xl/ctrlProps/ctrlProp664.xml><?xml version="1.0" encoding="utf-8"?>
<formControlPr xmlns="http://schemas.microsoft.com/office/spreadsheetml/2009/9/main" objectType="CheckBox" fmlaLink="Activity!#REF!" lockText="1" noThreeD="1"/>
</file>

<file path=xl/ctrlProps/ctrlProp665.xml><?xml version="1.0" encoding="utf-8"?>
<formControlPr xmlns="http://schemas.microsoft.com/office/spreadsheetml/2009/9/main" objectType="CheckBox" fmlaLink="Activity!#REF!" lockText="1" noThreeD="1"/>
</file>

<file path=xl/ctrlProps/ctrlProp666.xml><?xml version="1.0" encoding="utf-8"?>
<formControlPr xmlns="http://schemas.microsoft.com/office/spreadsheetml/2009/9/main" objectType="CheckBox" fmlaLink="Activity!#REF!" lockText="1" noThreeD="1"/>
</file>

<file path=xl/ctrlProps/ctrlProp667.xml><?xml version="1.0" encoding="utf-8"?>
<formControlPr xmlns="http://schemas.microsoft.com/office/spreadsheetml/2009/9/main" objectType="CheckBox" fmlaLink="Activity!#REF!" lockText="1" noThreeD="1"/>
</file>

<file path=xl/ctrlProps/ctrlProp668.xml><?xml version="1.0" encoding="utf-8"?>
<formControlPr xmlns="http://schemas.microsoft.com/office/spreadsheetml/2009/9/main" objectType="CheckBox" fmlaLink="Activity!#REF!" lockText="1" noThreeD="1"/>
</file>

<file path=xl/ctrlProps/ctrlProp669.xml><?xml version="1.0" encoding="utf-8"?>
<formControlPr xmlns="http://schemas.microsoft.com/office/spreadsheetml/2009/9/main" objectType="CheckBox" fmlaLink="Activity!#REF!" lockText="1" noThreeD="1"/>
</file>

<file path=xl/ctrlProps/ctrlProp670.xml><?xml version="1.0" encoding="utf-8"?>
<formControlPr xmlns="http://schemas.microsoft.com/office/spreadsheetml/2009/9/main" objectType="CheckBox" fmlaLink="Activity!#REF!" lockText="1" noThreeD="1"/>
</file>

<file path=xl/ctrlProps/ctrlProp671.xml><?xml version="1.0" encoding="utf-8"?>
<formControlPr xmlns="http://schemas.microsoft.com/office/spreadsheetml/2009/9/main" objectType="CheckBox" fmlaLink="Activity!#REF!" lockText="1" noThreeD="1"/>
</file>

<file path=xl/ctrlProps/ctrlProp672.xml><?xml version="1.0" encoding="utf-8"?>
<formControlPr xmlns="http://schemas.microsoft.com/office/spreadsheetml/2009/9/main" objectType="CheckBox" fmlaLink="Activity!#REF!" lockText="1" noThreeD="1"/>
</file>

<file path=xl/ctrlProps/ctrlProp673.xml><?xml version="1.0" encoding="utf-8"?>
<formControlPr xmlns="http://schemas.microsoft.com/office/spreadsheetml/2009/9/main" objectType="CheckBox" fmlaLink="Activity!#REF!" lockText="1" noThreeD="1"/>
</file>

<file path=xl/ctrlProps/ctrlProp674.xml><?xml version="1.0" encoding="utf-8"?>
<formControlPr xmlns="http://schemas.microsoft.com/office/spreadsheetml/2009/9/main" objectType="CheckBox" fmlaLink="Activity!#REF!" lockText="1" noThreeD="1"/>
</file>

<file path=xl/ctrlProps/ctrlProp675.xml><?xml version="1.0" encoding="utf-8"?>
<formControlPr xmlns="http://schemas.microsoft.com/office/spreadsheetml/2009/9/main" objectType="CheckBox" fmlaLink="Activity!#REF!" lockText="1" noThreeD="1"/>
</file>

<file path=xl/ctrlProps/ctrlProp676.xml><?xml version="1.0" encoding="utf-8"?>
<formControlPr xmlns="http://schemas.microsoft.com/office/spreadsheetml/2009/9/main" objectType="CheckBox" fmlaLink="Activity!#REF!" lockText="1" noThreeD="1"/>
</file>

<file path=xl/ctrlProps/ctrlProp677.xml><?xml version="1.0" encoding="utf-8"?>
<formControlPr xmlns="http://schemas.microsoft.com/office/spreadsheetml/2009/9/main" objectType="CheckBox" fmlaLink="Activity!#REF!" lockText="1" noThreeD="1"/>
</file>

<file path=xl/ctrlProps/ctrlProp678.xml><?xml version="1.0" encoding="utf-8"?>
<formControlPr xmlns="http://schemas.microsoft.com/office/spreadsheetml/2009/9/main" objectType="CheckBox" fmlaLink="Activity!#REF!" lockText="1" noThreeD="1"/>
</file>

<file path=xl/ctrlProps/ctrlProp679.xml><?xml version="1.0" encoding="utf-8"?>
<formControlPr xmlns="http://schemas.microsoft.com/office/spreadsheetml/2009/9/main" objectType="CheckBox" fmlaLink="Activity!#REF!" lockText="1" noThreeD="1"/>
</file>

<file path=xl/ctrlProps/ctrlProp680.xml><?xml version="1.0" encoding="utf-8"?>
<formControlPr xmlns="http://schemas.microsoft.com/office/spreadsheetml/2009/9/main" objectType="CheckBox" fmlaLink="Activity!#REF!" lockText="1" noThreeD="1"/>
</file>

<file path=xl/ctrlProps/ctrlProp681.xml><?xml version="1.0" encoding="utf-8"?>
<formControlPr xmlns="http://schemas.microsoft.com/office/spreadsheetml/2009/9/main" objectType="CheckBox" fmlaLink="Activity!#REF!" lockText="1" noThreeD="1"/>
</file>

<file path=xl/ctrlProps/ctrlProp682.xml><?xml version="1.0" encoding="utf-8"?>
<formControlPr xmlns="http://schemas.microsoft.com/office/spreadsheetml/2009/9/main" objectType="CheckBox" fmlaLink="Activity!#REF!" lockText="1" noThreeD="1"/>
</file>

<file path=xl/ctrlProps/ctrlProp683.xml><?xml version="1.0" encoding="utf-8"?>
<formControlPr xmlns="http://schemas.microsoft.com/office/spreadsheetml/2009/9/main" objectType="CheckBox" fmlaLink="Activity!#REF!" lockText="1" noThreeD="1"/>
</file>

<file path=xl/ctrlProps/ctrlProp684.xml><?xml version="1.0" encoding="utf-8"?>
<formControlPr xmlns="http://schemas.microsoft.com/office/spreadsheetml/2009/9/main" objectType="CheckBox" fmlaLink="Activity!#REF!" lockText="1" noThreeD="1"/>
</file>

<file path=xl/ctrlProps/ctrlProp685.xml><?xml version="1.0" encoding="utf-8"?>
<formControlPr xmlns="http://schemas.microsoft.com/office/spreadsheetml/2009/9/main" objectType="CheckBox" fmlaLink="Activity!#REF!" lockText="1" noThreeD="1"/>
</file>

<file path=xl/ctrlProps/ctrlProp686.xml><?xml version="1.0" encoding="utf-8"?>
<formControlPr xmlns="http://schemas.microsoft.com/office/spreadsheetml/2009/9/main" objectType="CheckBox" fmlaLink="Activity!#REF!" lockText="1" noThreeD="1"/>
</file>

<file path=xl/ctrlProps/ctrlProp687.xml><?xml version="1.0" encoding="utf-8"?>
<formControlPr xmlns="http://schemas.microsoft.com/office/spreadsheetml/2009/9/main" objectType="CheckBox" fmlaLink="Activity!#REF!" lockText="1" noThreeD="1"/>
</file>

<file path=xl/ctrlProps/ctrlProp688.xml><?xml version="1.0" encoding="utf-8"?>
<formControlPr xmlns="http://schemas.microsoft.com/office/spreadsheetml/2009/9/main" objectType="CheckBox" fmlaLink="Activity!#REF!" lockText="1" noThreeD="1"/>
</file>

<file path=xl/ctrlProps/ctrlProp689.xml><?xml version="1.0" encoding="utf-8"?>
<formControlPr xmlns="http://schemas.microsoft.com/office/spreadsheetml/2009/9/main" objectType="CheckBox" fmlaLink="Activity!#REF!" lockText="1" noThreeD="1"/>
</file>

<file path=xl/ctrlProps/ctrlProp690.xml><?xml version="1.0" encoding="utf-8"?>
<formControlPr xmlns="http://schemas.microsoft.com/office/spreadsheetml/2009/9/main" objectType="CheckBox" fmlaLink="Activity!#REF!" lockText="1" noThreeD="1"/>
</file>

<file path=xl/ctrlProps/ctrlProp691.xml><?xml version="1.0" encoding="utf-8"?>
<formControlPr xmlns="http://schemas.microsoft.com/office/spreadsheetml/2009/9/main" objectType="CheckBox" fmlaLink="Activity!#REF!" lockText="1" noThreeD="1"/>
</file>

<file path=xl/ctrlProps/ctrlProp692.xml><?xml version="1.0" encoding="utf-8"?>
<formControlPr xmlns="http://schemas.microsoft.com/office/spreadsheetml/2009/9/main" objectType="CheckBox" fmlaLink="Activity!#REF!" lockText="1" noThreeD="1"/>
</file>

<file path=xl/ctrlProps/ctrlProp693.xml><?xml version="1.0" encoding="utf-8"?>
<formControlPr xmlns="http://schemas.microsoft.com/office/spreadsheetml/2009/9/main" objectType="CheckBox" fmlaLink="Activity!#REF!" lockText="1" noThreeD="1"/>
</file>

<file path=xl/ctrlProps/ctrlProp694.xml><?xml version="1.0" encoding="utf-8"?>
<formControlPr xmlns="http://schemas.microsoft.com/office/spreadsheetml/2009/9/main" objectType="CheckBox" fmlaLink="Activity!#REF!" lockText="1" noThreeD="1"/>
</file>

<file path=xl/ctrlProps/ctrlProp695.xml><?xml version="1.0" encoding="utf-8"?>
<formControlPr xmlns="http://schemas.microsoft.com/office/spreadsheetml/2009/9/main" objectType="CheckBox" fmlaLink="Activity!#REF!" lockText="1" noThreeD="1"/>
</file>

<file path=xl/ctrlProps/ctrlProp696.xml><?xml version="1.0" encoding="utf-8"?>
<formControlPr xmlns="http://schemas.microsoft.com/office/spreadsheetml/2009/9/main" objectType="CheckBox" fmlaLink="Activity!#REF!" lockText="1" noThreeD="1"/>
</file>

<file path=xl/ctrlProps/ctrlProp697.xml><?xml version="1.0" encoding="utf-8"?>
<formControlPr xmlns="http://schemas.microsoft.com/office/spreadsheetml/2009/9/main" objectType="CheckBox" fmlaLink="Activity!#REF!" lockText="1" noThreeD="1"/>
</file>

<file path=xl/ctrlProps/ctrlProp698.xml><?xml version="1.0" encoding="utf-8"?>
<formControlPr xmlns="http://schemas.microsoft.com/office/spreadsheetml/2009/9/main" objectType="CheckBox" fmlaLink="Activity!#REF!" lockText="1" noThreeD="1"/>
</file>

<file path=xl/ctrlProps/ctrlProp699.xml><?xml version="1.0" encoding="utf-8"?>
<formControlPr xmlns="http://schemas.microsoft.com/office/spreadsheetml/2009/9/main" objectType="CheckBox" fmlaLink="Activity!#REF!" lockText="1" noThreeD="1"/>
</file>

<file path=xl/ctrlProps/ctrlProp700.xml><?xml version="1.0" encoding="utf-8"?>
<formControlPr xmlns="http://schemas.microsoft.com/office/spreadsheetml/2009/9/main" objectType="CheckBox" fmlaLink="Activity!#REF!" lockText="1" noThreeD="1"/>
</file>

<file path=xl/ctrlProps/ctrlProp701.xml><?xml version="1.0" encoding="utf-8"?>
<formControlPr xmlns="http://schemas.microsoft.com/office/spreadsheetml/2009/9/main" objectType="CheckBox" fmlaLink="Activity!#REF!" lockText="1" noThreeD="1"/>
</file>

<file path=xl/ctrlProps/ctrlProp702.xml><?xml version="1.0" encoding="utf-8"?>
<formControlPr xmlns="http://schemas.microsoft.com/office/spreadsheetml/2009/9/main" objectType="CheckBox" fmlaLink="Activity!#REF!" lockText="1" noThreeD="1"/>
</file>

<file path=xl/ctrlProps/ctrlProp703.xml><?xml version="1.0" encoding="utf-8"?>
<formControlPr xmlns="http://schemas.microsoft.com/office/spreadsheetml/2009/9/main" objectType="CheckBox" fmlaLink="Activity!#REF!" lockText="1" noThreeD="1"/>
</file>

<file path=xl/ctrlProps/ctrlProp704.xml><?xml version="1.0" encoding="utf-8"?>
<formControlPr xmlns="http://schemas.microsoft.com/office/spreadsheetml/2009/9/main" objectType="CheckBox" fmlaLink="Activity!#REF!" lockText="1" noThreeD="1"/>
</file>

<file path=xl/ctrlProps/ctrlProp705.xml><?xml version="1.0" encoding="utf-8"?>
<formControlPr xmlns="http://schemas.microsoft.com/office/spreadsheetml/2009/9/main" objectType="CheckBox" fmlaLink="Activity!#REF!" lockText="1" noThreeD="1"/>
</file>

<file path=xl/ctrlProps/ctrlProp706.xml><?xml version="1.0" encoding="utf-8"?>
<formControlPr xmlns="http://schemas.microsoft.com/office/spreadsheetml/2009/9/main" objectType="CheckBox" fmlaLink="Activity!#REF!" lockText="1" noThreeD="1"/>
</file>

<file path=xl/ctrlProps/ctrlProp707.xml><?xml version="1.0" encoding="utf-8"?>
<formControlPr xmlns="http://schemas.microsoft.com/office/spreadsheetml/2009/9/main" objectType="CheckBox" fmlaLink="Activity!#REF!" lockText="1" noThreeD="1"/>
</file>

<file path=xl/ctrlProps/ctrlProp708.xml><?xml version="1.0" encoding="utf-8"?>
<formControlPr xmlns="http://schemas.microsoft.com/office/spreadsheetml/2009/9/main" objectType="CheckBox" fmlaLink="Activity!#REF!" lockText="1" noThreeD="1"/>
</file>

<file path=xl/ctrlProps/ctrlProp709.xml><?xml version="1.0" encoding="utf-8"?>
<formControlPr xmlns="http://schemas.microsoft.com/office/spreadsheetml/2009/9/main" objectType="CheckBox" fmlaLink="Activity!#REF!" lockText="1" noThreeD="1"/>
</file>

<file path=xl/ctrlProps/ctrlProp710.xml><?xml version="1.0" encoding="utf-8"?>
<formControlPr xmlns="http://schemas.microsoft.com/office/spreadsheetml/2009/9/main" objectType="CheckBox" fmlaLink="Activity!#REF!" lockText="1" noThreeD="1"/>
</file>

<file path=xl/ctrlProps/ctrlProp711.xml><?xml version="1.0" encoding="utf-8"?>
<formControlPr xmlns="http://schemas.microsoft.com/office/spreadsheetml/2009/9/main" objectType="CheckBox" fmlaLink="Activity!#REF!" lockText="1" noThreeD="1"/>
</file>

<file path=xl/ctrlProps/ctrlProp712.xml><?xml version="1.0" encoding="utf-8"?>
<formControlPr xmlns="http://schemas.microsoft.com/office/spreadsheetml/2009/9/main" objectType="CheckBox" fmlaLink="Activity!#REF!" lockText="1" noThreeD="1"/>
</file>

<file path=xl/ctrlProps/ctrlProp713.xml><?xml version="1.0" encoding="utf-8"?>
<formControlPr xmlns="http://schemas.microsoft.com/office/spreadsheetml/2009/9/main" objectType="CheckBox" fmlaLink="Activity!#REF!" lockText="1" noThreeD="1"/>
</file>

<file path=xl/ctrlProps/ctrlProp714.xml><?xml version="1.0" encoding="utf-8"?>
<formControlPr xmlns="http://schemas.microsoft.com/office/spreadsheetml/2009/9/main" objectType="CheckBox" fmlaLink="Activity!#REF!" lockText="1" noThreeD="1"/>
</file>

<file path=xl/ctrlProps/ctrlProp715.xml><?xml version="1.0" encoding="utf-8"?>
<formControlPr xmlns="http://schemas.microsoft.com/office/spreadsheetml/2009/9/main" objectType="CheckBox" fmlaLink="Activity!#REF!" lockText="1" noThreeD="1"/>
</file>

<file path=xl/ctrlProps/ctrlProp716.xml><?xml version="1.0" encoding="utf-8"?>
<formControlPr xmlns="http://schemas.microsoft.com/office/spreadsheetml/2009/9/main" objectType="CheckBox" fmlaLink="Activity!#REF!" lockText="1" noThreeD="1"/>
</file>

<file path=xl/ctrlProps/ctrlProp717.xml><?xml version="1.0" encoding="utf-8"?>
<formControlPr xmlns="http://schemas.microsoft.com/office/spreadsheetml/2009/9/main" objectType="CheckBox" fmlaLink="Activity!#REF!" lockText="1" noThreeD="1"/>
</file>

<file path=xl/ctrlProps/ctrlProp718.xml><?xml version="1.0" encoding="utf-8"?>
<formControlPr xmlns="http://schemas.microsoft.com/office/spreadsheetml/2009/9/main" objectType="CheckBox" fmlaLink="Activity!#REF!" lockText="1" noThreeD="1"/>
</file>

<file path=xl/ctrlProps/ctrlProp719.xml><?xml version="1.0" encoding="utf-8"?>
<formControlPr xmlns="http://schemas.microsoft.com/office/spreadsheetml/2009/9/main" objectType="CheckBox" fmlaLink="Activity!#REF!" lockText="1" noThreeD="1"/>
</file>

<file path=xl/ctrlProps/ctrlProp720.xml><?xml version="1.0" encoding="utf-8"?>
<formControlPr xmlns="http://schemas.microsoft.com/office/spreadsheetml/2009/9/main" objectType="CheckBox" fmlaLink="Activity!#REF!" lockText="1" noThreeD="1"/>
</file>

<file path=xl/ctrlProps/ctrlProp721.xml><?xml version="1.0" encoding="utf-8"?>
<formControlPr xmlns="http://schemas.microsoft.com/office/spreadsheetml/2009/9/main" objectType="CheckBox" fmlaLink="Activity!#REF!" lockText="1" noThreeD="1"/>
</file>

<file path=xl/ctrlProps/ctrlProp722.xml><?xml version="1.0" encoding="utf-8"?>
<formControlPr xmlns="http://schemas.microsoft.com/office/spreadsheetml/2009/9/main" objectType="CheckBox" fmlaLink="Activity!#REF!" lockText="1" noThreeD="1"/>
</file>

<file path=xl/ctrlProps/ctrlProp723.xml><?xml version="1.0" encoding="utf-8"?>
<formControlPr xmlns="http://schemas.microsoft.com/office/spreadsheetml/2009/9/main" objectType="CheckBox" fmlaLink="Activity!#REF!" lockText="1" noThreeD="1"/>
</file>

<file path=xl/ctrlProps/ctrlProp724.xml><?xml version="1.0" encoding="utf-8"?>
<formControlPr xmlns="http://schemas.microsoft.com/office/spreadsheetml/2009/9/main" objectType="CheckBox" fmlaLink="Activity!#REF!" lockText="1" noThreeD="1"/>
</file>

<file path=xl/ctrlProps/ctrlProp725.xml><?xml version="1.0" encoding="utf-8"?>
<formControlPr xmlns="http://schemas.microsoft.com/office/spreadsheetml/2009/9/main" objectType="CheckBox" fmlaLink="Activity!#REF!" lockText="1" noThreeD="1"/>
</file>

<file path=xl/ctrlProps/ctrlProp726.xml><?xml version="1.0" encoding="utf-8"?>
<formControlPr xmlns="http://schemas.microsoft.com/office/spreadsheetml/2009/9/main" objectType="CheckBox" fmlaLink="Activity!#REF!" lockText="1" noThreeD="1"/>
</file>

<file path=xl/ctrlProps/ctrlProp727.xml><?xml version="1.0" encoding="utf-8"?>
<formControlPr xmlns="http://schemas.microsoft.com/office/spreadsheetml/2009/9/main" objectType="CheckBox" fmlaLink="Activity!#REF!" lockText="1" noThreeD="1"/>
</file>

<file path=xl/ctrlProps/ctrlProp728.xml><?xml version="1.0" encoding="utf-8"?>
<formControlPr xmlns="http://schemas.microsoft.com/office/spreadsheetml/2009/9/main" objectType="CheckBox" fmlaLink="Activity!#REF!" lockText="1" noThreeD="1"/>
</file>

<file path=xl/ctrlProps/ctrlProp729.xml><?xml version="1.0" encoding="utf-8"?>
<formControlPr xmlns="http://schemas.microsoft.com/office/spreadsheetml/2009/9/main" objectType="CheckBox" fmlaLink="Activity!#REF!" lockText="1" noThreeD="1"/>
</file>

<file path=xl/ctrlProps/ctrlProp730.xml><?xml version="1.0" encoding="utf-8"?>
<formControlPr xmlns="http://schemas.microsoft.com/office/spreadsheetml/2009/9/main" objectType="CheckBox" fmlaLink="Activity!#REF!" lockText="1" noThreeD="1"/>
</file>

<file path=xl/ctrlProps/ctrlProp731.xml><?xml version="1.0" encoding="utf-8"?>
<formControlPr xmlns="http://schemas.microsoft.com/office/spreadsheetml/2009/9/main" objectType="CheckBox" fmlaLink="Activity!#REF!" lockText="1" noThreeD="1"/>
</file>

<file path=xl/ctrlProps/ctrlProp732.xml><?xml version="1.0" encoding="utf-8"?>
<formControlPr xmlns="http://schemas.microsoft.com/office/spreadsheetml/2009/9/main" objectType="CheckBox" fmlaLink="Activity!#REF!" lockText="1" noThreeD="1"/>
</file>

<file path=xl/ctrlProps/ctrlProp733.xml><?xml version="1.0" encoding="utf-8"?>
<formControlPr xmlns="http://schemas.microsoft.com/office/spreadsheetml/2009/9/main" objectType="CheckBox" fmlaLink="Activity!#REF!" lockText="1" noThreeD="1"/>
</file>

<file path=xl/ctrlProps/ctrlProp734.xml><?xml version="1.0" encoding="utf-8"?>
<formControlPr xmlns="http://schemas.microsoft.com/office/spreadsheetml/2009/9/main" objectType="CheckBox" fmlaLink="Activity!#REF!" lockText="1" noThreeD="1"/>
</file>

<file path=xl/ctrlProps/ctrlProp735.xml><?xml version="1.0" encoding="utf-8"?>
<formControlPr xmlns="http://schemas.microsoft.com/office/spreadsheetml/2009/9/main" objectType="CheckBox" fmlaLink="Activity!#REF!" lockText="1" noThreeD="1"/>
</file>

<file path=xl/ctrlProps/ctrlProp736.xml><?xml version="1.0" encoding="utf-8"?>
<formControlPr xmlns="http://schemas.microsoft.com/office/spreadsheetml/2009/9/main" objectType="CheckBox" fmlaLink="Activity!#REF!" lockText="1" noThreeD="1"/>
</file>

<file path=xl/ctrlProps/ctrlProp737.xml><?xml version="1.0" encoding="utf-8"?>
<formControlPr xmlns="http://schemas.microsoft.com/office/spreadsheetml/2009/9/main" objectType="CheckBox" fmlaLink="Activity!#REF!" lockText="1" noThreeD="1"/>
</file>

<file path=xl/ctrlProps/ctrlProp738.xml><?xml version="1.0" encoding="utf-8"?>
<formControlPr xmlns="http://schemas.microsoft.com/office/spreadsheetml/2009/9/main" objectType="CheckBox" fmlaLink="Activity!#REF!" lockText="1" noThreeD="1"/>
</file>

<file path=xl/ctrlProps/ctrlProp739.xml><?xml version="1.0" encoding="utf-8"?>
<formControlPr xmlns="http://schemas.microsoft.com/office/spreadsheetml/2009/9/main" objectType="CheckBox" fmlaLink="Activity!#REF!" lockText="1" noThreeD="1"/>
</file>

<file path=xl/ctrlProps/ctrlProp740.xml><?xml version="1.0" encoding="utf-8"?>
<formControlPr xmlns="http://schemas.microsoft.com/office/spreadsheetml/2009/9/main" objectType="CheckBox" fmlaLink="Activity!#REF!" lockText="1" noThreeD="1"/>
</file>

<file path=xl/ctrlProps/ctrlProp741.xml><?xml version="1.0" encoding="utf-8"?>
<formControlPr xmlns="http://schemas.microsoft.com/office/spreadsheetml/2009/9/main" objectType="CheckBox" fmlaLink="Activity!#REF!" lockText="1" noThreeD="1"/>
</file>

<file path=xl/ctrlProps/ctrlProp742.xml><?xml version="1.0" encoding="utf-8"?>
<formControlPr xmlns="http://schemas.microsoft.com/office/spreadsheetml/2009/9/main" objectType="CheckBox" fmlaLink="Activity!#REF!" lockText="1" noThreeD="1"/>
</file>

<file path=xl/ctrlProps/ctrlProp743.xml><?xml version="1.0" encoding="utf-8"?>
<formControlPr xmlns="http://schemas.microsoft.com/office/spreadsheetml/2009/9/main" objectType="CheckBox" fmlaLink="Activity!#REF!" lockText="1" noThreeD="1"/>
</file>

<file path=xl/ctrlProps/ctrlProp744.xml><?xml version="1.0" encoding="utf-8"?>
<formControlPr xmlns="http://schemas.microsoft.com/office/spreadsheetml/2009/9/main" objectType="CheckBox" fmlaLink="Activity!#REF!" lockText="1" noThreeD="1"/>
</file>

<file path=xl/ctrlProps/ctrlProp745.xml><?xml version="1.0" encoding="utf-8"?>
<formControlPr xmlns="http://schemas.microsoft.com/office/spreadsheetml/2009/9/main" objectType="CheckBox" fmlaLink="Activity!#REF!" lockText="1" noThreeD="1"/>
</file>

<file path=xl/ctrlProps/ctrlProp746.xml><?xml version="1.0" encoding="utf-8"?>
<formControlPr xmlns="http://schemas.microsoft.com/office/spreadsheetml/2009/9/main" objectType="CheckBox" fmlaLink="Activity!#REF!" lockText="1" noThreeD="1"/>
</file>

<file path=xl/ctrlProps/ctrlProp747.xml><?xml version="1.0" encoding="utf-8"?>
<formControlPr xmlns="http://schemas.microsoft.com/office/spreadsheetml/2009/9/main" objectType="CheckBox" fmlaLink="Activity!#REF!" lockText="1" noThreeD="1"/>
</file>

<file path=xl/ctrlProps/ctrlProp748.xml><?xml version="1.0" encoding="utf-8"?>
<formControlPr xmlns="http://schemas.microsoft.com/office/spreadsheetml/2009/9/main" objectType="CheckBox" fmlaLink="Activity!#REF!" lockText="1" noThreeD="1"/>
</file>

<file path=xl/ctrlProps/ctrlProp749.xml><?xml version="1.0" encoding="utf-8"?>
<formControlPr xmlns="http://schemas.microsoft.com/office/spreadsheetml/2009/9/main" objectType="CheckBox" fmlaLink="Activity!#REF!" lockText="1" noThreeD="1"/>
</file>

<file path=xl/ctrlProps/ctrlProp750.xml><?xml version="1.0" encoding="utf-8"?>
<formControlPr xmlns="http://schemas.microsoft.com/office/spreadsheetml/2009/9/main" objectType="CheckBox" fmlaLink="Activity!#REF!" lockText="1" noThreeD="1"/>
</file>

<file path=xl/ctrlProps/ctrlProp751.xml><?xml version="1.0" encoding="utf-8"?>
<formControlPr xmlns="http://schemas.microsoft.com/office/spreadsheetml/2009/9/main" objectType="CheckBox" fmlaLink="Activity!#REF!" lockText="1" noThreeD="1"/>
</file>

<file path=xl/ctrlProps/ctrlProp752.xml><?xml version="1.0" encoding="utf-8"?>
<formControlPr xmlns="http://schemas.microsoft.com/office/spreadsheetml/2009/9/main" objectType="CheckBox" fmlaLink="Activity!#REF!" lockText="1" noThreeD="1"/>
</file>

<file path=xl/ctrlProps/ctrlProp753.xml><?xml version="1.0" encoding="utf-8"?>
<formControlPr xmlns="http://schemas.microsoft.com/office/spreadsheetml/2009/9/main" objectType="CheckBox" fmlaLink="Activity!#REF!" lockText="1" noThreeD="1"/>
</file>

<file path=xl/ctrlProps/ctrlProp754.xml><?xml version="1.0" encoding="utf-8"?>
<formControlPr xmlns="http://schemas.microsoft.com/office/spreadsheetml/2009/9/main" objectType="CheckBox" fmlaLink="Activity!#REF!" lockText="1" noThreeD="1"/>
</file>

<file path=xl/ctrlProps/ctrlProp755.xml><?xml version="1.0" encoding="utf-8"?>
<formControlPr xmlns="http://schemas.microsoft.com/office/spreadsheetml/2009/9/main" objectType="CheckBox" fmlaLink="Activity!#REF!" lockText="1" noThreeD="1"/>
</file>

<file path=xl/ctrlProps/ctrlProp756.xml><?xml version="1.0" encoding="utf-8"?>
<formControlPr xmlns="http://schemas.microsoft.com/office/spreadsheetml/2009/9/main" objectType="CheckBox" fmlaLink="Activity!#REF!" lockText="1" noThreeD="1"/>
</file>

<file path=xl/ctrlProps/ctrlProp757.xml><?xml version="1.0" encoding="utf-8"?>
<formControlPr xmlns="http://schemas.microsoft.com/office/spreadsheetml/2009/9/main" objectType="CheckBox" fmlaLink="Activity!#REF!" lockText="1" noThreeD="1"/>
</file>

<file path=xl/ctrlProps/ctrlProp758.xml><?xml version="1.0" encoding="utf-8"?>
<formControlPr xmlns="http://schemas.microsoft.com/office/spreadsheetml/2009/9/main" objectType="CheckBox" fmlaLink="Activity!#REF!" lockText="1" noThreeD="1"/>
</file>

<file path=xl/ctrlProps/ctrlProp759.xml><?xml version="1.0" encoding="utf-8"?>
<formControlPr xmlns="http://schemas.microsoft.com/office/spreadsheetml/2009/9/main" objectType="CheckBox" fmlaLink="Activity!#REF!" lockText="1" noThreeD="1"/>
</file>

<file path=xl/ctrlProps/ctrlProp760.xml><?xml version="1.0" encoding="utf-8"?>
<formControlPr xmlns="http://schemas.microsoft.com/office/spreadsheetml/2009/9/main" objectType="CheckBox" fmlaLink="Activity!#REF!" lockText="1" noThreeD="1"/>
</file>

<file path=xl/ctrlProps/ctrlProp761.xml><?xml version="1.0" encoding="utf-8"?>
<formControlPr xmlns="http://schemas.microsoft.com/office/spreadsheetml/2009/9/main" objectType="CheckBox" fmlaLink="Activity!#REF!" lockText="1" noThreeD="1"/>
</file>

<file path=xl/ctrlProps/ctrlProp762.xml><?xml version="1.0" encoding="utf-8"?>
<formControlPr xmlns="http://schemas.microsoft.com/office/spreadsheetml/2009/9/main" objectType="CheckBox" fmlaLink="Activity!#REF!" lockText="1" noThreeD="1"/>
</file>

<file path=xl/ctrlProps/ctrlProp763.xml><?xml version="1.0" encoding="utf-8"?>
<formControlPr xmlns="http://schemas.microsoft.com/office/spreadsheetml/2009/9/main" objectType="CheckBox" fmlaLink="Activity!#REF!" lockText="1" noThreeD="1"/>
</file>

<file path=xl/ctrlProps/ctrlProp764.xml><?xml version="1.0" encoding="utf-8"?>
<formControlPr xmlns="http://schemas.microsoft.com/office/spreadsheetml/2009/9/main" objectType="CheckBox" fmlaLink="Activity!#REF!" lockText="1" noThreeD="1"/>
</file>

<file path=xl/ctrlProps/ctrlProp765.xml><?xml version="1.0" encoding="utf-8"?>
<formControlPr xmlns="http://schemas.microsoft.com/office/spreadsheetml/2009/9/main" objectType="CheckBox" fmlaLink="Activity!#REF!" lockText="1" noThreeD="1"/>
</file>

<file path=xl/ctrlProps/ctrlProp766.xml><?xml version="1.0" encoding="utf-8"?>
<formControlPr xmlns="http://schemas.microsoft.com/office/spreadsheetml/2009/9/main" objectType="CheckBox" fmlaLink="Activity!#REF!" lockText="1" noThreeD="1"/>
</file>

<file path=xl/ctrlProps/ctrlProp767.xml><?xml version="1.0" encoding="utf-8"?>
<formControlPr xmlns="http://schemas.microsoft.com/office/spreadsheetml/2009/9/main" objectType="CheckBox" fmlaLink="Activity!#REF!" lockText="1" noThreeD="1"/>
</file>

<file path=xl/ctrlProps/ctrlProp768.xml><?xml version="1.0" encoding="utf-8"?>
<formControlPr xmlns="http://schemas.microsoft.com/office/spreadsheetml/2009/9/main" objectType="CheckBox" fmlaLink="Activity!#REF!" lockText="1" noThreeD="1"/>
</file>

<file path=xl/ctrlProps/ctrlProp769.xml><?xml version="1.0" encoding="utf-8"?>
<formControlPr xmlns="http://schemas.microsoft.com/office/spreadsheetml/2009/9/main" objectType="CheckBox" fmlaLink="Activity!#REF!" lockText="1" noThreeD="1"/>
</file>

<file path=xl/ctrlProps/ctrlProp770.xml><?xml version="1.0" encoding="utf-8"?>
<formControlPr xmlns="http://schemas.microsoft.com/office/spreadsheetml/2009/9/main" objectType="CheckBox" fmlaLink="Activity!#REF!" lockText="1" noThreeD="1"/>
</file>

<file path=xl/ctrlProps/ctrlProp771.xml><?xml version="1.0" encoding="utf-8"?>
<formControlPr xmlns="http://schemas.microsoft.com/office/spreadsheetml/2009/9/main" objectType="CheckBox" fmlaLink="Activity!#REF!" lockText="1" noThreeD="1"/>
</file>

<file path=xl/ctrlProps/ctrlProp772.xml><?xml version="1.0" encoding="utf-8"?>
<formControlPr xmlns="http://schemas.microsoft.com/office/spreadsheetml/2009/9/main" objectType="CheckBox" fmlaLink="Activity!#REF!" lockText="1" noThreeD="1"/>
</file>

<file path=xl/ctrlProps/ctrlProp773.xml><?xml version="1.0" encoding="utf-8"?>
<formControlPr xmlns="http://schemas.microsoft.com/office/spreadsheetml/2009/9/main" objectType="CheckBox" fmlaLink="Activity!#REF!" lockText="1" noThreeD="1"/>
</file>

<file path=xl/ctrlProps/ctrlProp774.xml><?xml version="1.0" encoding="utf-8"?>
<formControlPr xmlns="http://schemas.microsoft.com/office/spreadsheetml/2009/9/main" objectType="CheckBox" fmlaLink="Activity!#REF!" lockText="1" noThreeD="1"/>
</file>

<file path=xl/ctrlProps/ctrlProp775.xml><?xml version="1.0" encoding="utf-8"?>
<formControlPr xmlns="http://schemas.microsoft.com/office/spreadsheetml/2009/9/main" objectType="CheckBox" fmlaLink="Activity!#REF!" lockText="1" noThreeD="1"/>
</file>

<file path=xl/ctrlProps/ctrlProp776.xml><?xml version="1.0" encoding="utf-8"?>
<formControlPr xmlns="http://schemas.microsoft.com/office/spreadsheetml/2009/9/main" objectType="CheckBox" fmlaLink="Activity!#REF!" lockText="1" noThreeD="1"/>
</file>

<file path=xl/ctrlProps/ctrlProp777.xml><?xml version="1.0" encoding="utf-8"?>
<formControlPr xmlns="http://schemas.microsoft.com/office/spreadsheetml/2009/9/main" objectType="CheckBox" fmlaLink="Activity!#REF!" lockText="1" noThreeD="1"/>
</file>

<file path=xl/ctrlProps/ctrlProp778.xml><?xml version="1.0" encoding="utf-8"?>
<formControlPr xmlns="http://schemas.microsoft.com/office/spreadsheetml/2009/9/main" objectType="CheckBox" fmlaLink="Activity!#REF!" lockText="1" noThreeD="1"/>
</file>

<file path=xl/ctrlProps/ctrlProp779.xml><?xml version="1.0" encoding="utf-8"?>
<formControlPr xmlns="http://schemas.microsoft.com/office/spreadsheetml/2009/9/main" objectType="CheckBox" fmlaLink="Activity!#REF!" lockText="1" noThreeD="1"/>
</file>

<file path=xl/ctrlProps/ctrlProp780.xml><?xml version="1.0" encoding="utf-8"?>
<formControlPr xmlns="http://schemas.microsoft.com/office/spreadsheetml/2009/9/main" objectType="CheckBox" fmlaLink="Activity!#REF!" lockText="1" noThreeD="1"/>
</file>

<file path=xl/ctrlProps/ctrlProp781.xml><?xml version="1.0" encoding="utf-8"?>
<formControlPr xmlns="http://schemas.microsoft.com/office/spreadsheetml/2009/9/main" objectType="CheckBox" fmlaLink="Activity!#REF!" lockText="1" noThreeD="1"/>
</file>

<file path=xl/ctrlProps/ctrlProp782.xml><?xml version="1.0" encoding="utf-8"?>
<formControlPr xmlns="http://schemas.microsoft.com/office/spreadsheetml/2009/9/main" objectType="CheckBox" fmlaLink="Activity!#REF!" lockText="1" noThreeD="1"/>
</file>

<file path=xl/ctrlProps/ctrlProp783.xml><?xml version="1.0" encoding="utf-8"?>
<formControlPr xmlns="http://schemas.microsoft.com/office/spreadsheetml/2009/9/main" objectType="CheckBox" fmlaLink="Activity!#REF!" lockText="1" noThreeD="1"/>
</file>

<file path=xl/ctrlProps/ctrlProp784.xml><?xml version="1.0" encoding="utf-8"?>
<formControlPr xmlns="http://schemas.microsoft.com/office/spreadsheetml/2009/9/main" objectType="CheckBox" fmlaLink="Activity!#REF!" lockText="1" noThreeD="1"/>
</file>

<file path=xl/ctrlProps/ctrlProp785.xml><?xml version="1.0" encoding="utf-8"?>
<formControlPr xmlns="http://schemas.microsoft.com/office/spreadsheetml/2009/9/main" objectType="CheckBox" fmlaLink="Activity!#REF!" lockText="1" noThreeD="1"/>
</file>

<file path=xl/ctrlProps/ctrlProp786.xml><?xml version="1.0" encoding="utf-8"?>
<formControlPr xmlns="http://schemas.microsoft.com/office/spreadsheetml/2009/9/main" objectType="CheckBox" fmlaLink="Activity!#REF!" lockText="1" noThreeD="1"/>
</file>

<file path=xl/ctrlProps/ctrlProp787.xml><?xml version="1.0" encoding="utf-8"?>
<formControlPr xmlns="http://schemas.microsoft.com/office/spreadsheetml/2009/9/main" objectType="CheckBox" fmlaLink="Activity!#REF!" lockText="1" noThreeD="1"/>
</file>

<file path=xl/ctrlProps/ctrlProp788.xml><?xml version="1.0" encoding="utf-8"?>
<formControlPr xmlns="http://schemas.microsoft.com/office/spreadsheetml/2009/9/main" objectType="CheckBox" fmlaLink="Activity!#REF!" lockText="1" noThreeD="1"/>
</file>

<file path=xl/ctrlProps/ctrlProp789.xml><?xml version="1.0" encoding="utf-8"?>
<formControlPr xmlns="http://schemas.microsoft.com/office/spreadsheetml/2009/9/main" objectType="CheckBox" fmlaLink="Activity!#REF!" lockText="1" noThreeD="1"/>
</file>

<file path=xl/ctrlProps/ctrlProp790.xml><?xml version="1.0" encoding="utf-8"?>
<formControlPr xmlns="http://schemas.microsoft.com/office/spreadsheetml/2009/9/main" objectType="CheckBox" fmlaLink="Activity!#REF!" lockText="1" noThreeD="1"/>
</file>

<file path=xl/ctrlProps/ctrlProp791.xml><?xml version="1.0" encoding="utf-8"?>
<formControlPr xmlns="http://schemas.microsoft.com/office/spreadsheetml/2009/9/main" objectType="CheckBox" fmlaLink="Activity!#REF!" lockText="1" noThreeD="1"/>
</file>

<file path=xl/ctrlProps/ctrlProp792.xml><?xml version="1.0" encoding="utf-8"?>
<formControlPr xmlns="http://schemas.microsoft.com/office/spreadsheetml/2009/9/main" objectType="CheckBox" fmlaLink="Activity!#REF!" lockText="1" noThreeD="1"/>
</file>

<file path=xl/ctrlProps/ctrlProp793.xml><?xml version="1.0" encoding="utf-8"?>
<formControlPr xmlns="http://schemas.microsoft.com/office/spreadsheetml/2009/9/main" objectType="CheckBox" fmlaLink="Activity!#REF!" lockText="1" noThreeD="1"/>
</file>

<file path=xl/ctrlProps/ctrlProp794.xml><?xml version="1.0" encoding="utf-8"?>
<formControlPr xmlns="http://schemas.microsoft.com/office/spreadsheetml/2009/9/main" objectType="CheckBox" fmlaLink="Activity!#REF!" lockText="1" noThreeD="1"/>
</file>

<file path=xl/ctrlProps/ctrlProp795.xml><?xml version="1.0" encoding="utf-8"?>
<formControlPr xmlns="http://schemas.microsoft.com/office/spreadsheetml/2009/9/main" objectType="CheckBox" fmlaLink="Activity!#REF!" lockText="1" noThreeD="1"/>
</file>

<file path=xl/ctrlProps/ctrlProp796.xml><?xml version="1.0" encoding="utf-8"?>
<formControlPr xmlns="http://schemas.microsoft.com/office/spreadsheetml/2009/9/main" objectType="CheckBox" fmlaLink="Activity!#REF!" lockText="1" noThreeD="1"/>
</file>

<file path=xl/ctrlProps/ctrlProp797.xml><?xml version="1.0" encoding="utf-8"?>
<formControlPr xmlns="http://schemas.microsoft.com/office/spreadsheetml/2009/9/main" objectType="CheckBox" fmlaLink="Activity!#REF!" lockText="1" noThreeD="1"/>
</file>

<file path=xl/ctrlProps/ctrlProp798.xml><?xml version="1.0" encoding="utf-8"?>
<formControlPr xmlns="http://schemas.microsoft.com/office/spreadsheetml/2009/9/main" objectType="CheckBox" fmlaLink="Activity!#REF!" lockText="1" noThreeD="1"/>
</file>

<file path=xl/ctrlProps/ctrlProp799.xml><?xml version="1.0" encoding="utf-8"?>
<formControlPr xmlns="http://schemas.microsoft.com/office/spreadsheetml/2009/9/main" objectType="CheckBox" fmlaLink="Activity!#REF!" lockText="1" noThreeD="1"/>
</file>

<file path=xl/ctrlProps/ctrlProp800.xml><?xml version="1.0" encoding="utf-8"?>
<formControlPr xmlns="http://schemas.microsoft.com/office/spreadsheetml/2009/9/main" objectType="CheckBox" fmlaLink="Activity!#REF!" lockText="1" noThreeD="1"/>
</file>

<file path=xl/ctrlProps/ctrlProp801.xml><?xml version="1.0" encoding="utf-8"?>
<formControlPr xmlns="http://schemas.microsoft.com/office/spreadsheetml/2009/9/main" objectType="CheckBox" fmlaLink="Activity!#REF!" lockText="1" noThreeD="1"/>
</file>

<file path=xl/ctrlProps/ctrlProp802.xml><?xml version="1.0" encoding="utf-8"?>
<formControlPr xmlns="http://schemas.microsoft.com/office/spreadsheetml/2009/9/main" objectType="CheckBox" fmlaLink="Activity!#REF!" lockText="1" noThreeD="1"/>
</file>

<file path=xl/ctrlProps/ctrlProp803.xml><?xml version="1.0" encoding="utf-8"?>
<formControlPr xmlns="http://schemas.microsoft.com/office/spreadsheetml/2009/9/main" objectType="CheckBox" fmlaLink="Activity!#REF!" lockText="1" noThreeD="1"/>
</file>

<file path=xl/ctrlProps/ctrlProp804.xml><?xml version="1.0" encoding="utf-8"?>
<formControlPr xmlns="http://schemas.microsoft.com/office/spreadsheetml/2009/9/main" objectType="CheckBox" fmlaLink="Activity!#REF!" lockText="1" noThreeD="1"/>
</file>

<file path=xl/ctrlProps/ctrlProp805.xml><?xml version="1.0" encoding="utf-8"?>
<formControlPr xmlns="http://schemas.microsoft.com/office/spreadsheetml/2009/9/main" objectType="CheckBox" fmlaLink="Activity!#REF!" lockText="1" noThreeD="1"/>
</file>

<file path=xl/ctrlProps/ctrlProp806.xml><?xml version="1.0" encoding="utf-8"?>
<formControlPr xmlns="http://schemas.microsoft.com/office/spreadsheetml/2009/9/main" objectType="CheckBox" fmlaLink="Activity!#REF!" lockText="1" noThreeD="1"/>
</file>

<file path=xl/ctrlProps/ctrlProp807.xml><?xml version="1.0" encoding="utf-8"?>
<formControlPr xmlns="http://schemas.microsoft.com/office/spreadsheetml/2009/9/main" objectType="CheckBox" fmlaLink="Activity!#REF!" lockText="1" noThreeD="1"/>
</file>

<file path=xl/ctrlProps/ctrlProp808.xml><?xml version="1.0" encoding="utf-8"?>
<formControlPr xmlns="http://schemas.microsoft.com/office/spreadsheetml/2009/9/main" objectType="CheckBox" fmlaLink="Activity!#REF!" lockText="1" noThreeD="1"/>
</file>

<file path=xl/ctrlProps/ctrlProp809.xml><?xml version="1.0" encoding="utf-8"?>
<formControlPr xmlns="http://schemas.microsoft.com/office/spreadsheetml/2009/9/main" objectType="CheckBox" fmlaLink="Activity!#REF!" lockText="1" noThreeD="1"/>
</file>

<file path=xl/ctrlProps/ctrlProp810.xml><?xml version="1.0" encoding="utf-8"?>
<formControlPr xmlns="http://schemas.microsoft.com/office/spreadsheetml/2009/9/main" objectType="CheckBox" fmlaLink="Activity!#REF!" lockText="1" noThreeD="1"/>
</file>

<file path=xl/ctrlProps/ctrlProp811.xml><?xml version="1.0" encoding="utf-8"?>
<formControlPr xmlns="http://schemas.microsoft.com/office/spreadsheetml/2009/9/main" objectType="CheckBox" fmlaLink="Activity!#REF!" lockText="1" noThreeD="1"/>
</file>

<file path=xl/ctrlProps/ctrlProp812.xml><?xml version="1.0" encoding="utf-8"?>
<formControlPr xmlns="http://schemas.microsoft.com/office/spreadsheetml/2009/9/main" objectType="CheckBox" fmlaLink="Activity!#REF!" lockText="1" noThreeD="1"/>
</file>

<file path=xl/ctrlProps/ctrlProp813.xml><?xml version="1.0" encoding="utf-8"?>
<formControlPr xmlns="http://schemas.microsoft.com/office/spreadsheetml/2009/9/main" objectType="CheckBox" fmlaLink="Activity!#REF!" lockText="1" noThreeD="1"/>
</file>

<file path=xl/ctrlProps/ctrlProp814.xml><?xml version="1.0" encoding="utf-8"?>
<formControlPr xmlns="http://schemas.microsoft.com/office/spreadsheetml/2009/9/main" objectType="CheckBox" fmlaLink="Activity!#REF!" lockText="1" noThreeD="1"/>
</file>

<file path=xl/ctrlProps/ctrlProp815.xml><?xml version="1.0" encoding="utf-8"?>
<formControlPr xmlns="http://schemas.microsoft.com/office/spreadsheetml/2009/9/main" objectType="CheckBox" fmlaLink="Activity!#REF!" lockText="1" noThreeD="1"/>
</file>

<file path=xl/ctrlProps/ctrlProp816.xml><?xml version="1.0" encoding="utf-8"?>
<formControlPr xmlns="http://schemas.microsoft.com/office/spreadsheetml/2009/9/main" objectType="CheckBox" fmlaLink="Activity!#REF!" lockText="1" noThreeD="1"/>
</file>

<file path=xl/ctrlProps/ctrlProp817.xml><?xml version="1.0" encoding="utf-8"?>
<formControlPr xmlns="http://schemas.microsoft.com/office/spreadsheetml/2009/9/main" objectType="CheckBox" fmlaLink="Activity!#REF!" lockText="1" noThreeD="1"/>
</file>

<file path=xl/ctrlProps/ctrlProp818.xml><?xml version="1.0" encoding="utf-8"?>
<formControlPr xmlns="http://schemas.microsoft.com/office/spreadsheetml/2009/9/main" objectType="CheckBox" fmlaLink="Activity!#REF!" lockText="1" noThreeD="1"/>
</file>

<file path=xl/ctrlProps/ctrlProp819.xml><?xml version="1.0" encoding="utf-8"?>
<formControlPr xmlns="http://schemas.microsoft.com/office/spreadsheetml/2009/9/main" objectType="CheckBox" fmlaLink="Activity!#REF!" lockText="1" noThreeD="1"/>
</file>

<file path=xl/ctrlProps/ctrlProp820.xml><?xml version="1.0" encoding="utf-8"?>
<formControlPr xmlns="http://schemas.microsoft.com/office/spreadsheetml/2009/9/main" objectType="CheckBox" fmlaLink="Activity!#REF!" lockText="1" noThreeD="1"/>
</file>

<file path=xl/ctrlProps/ctrlProp821.xml><?xml version="1.0" encoding="utf-8"?>
<formControlPr xmlns="http://schemas.microsoft.com/office/spreadsheetml/2009/9/main" objectType="CheckBox" fmlaLink="Activity!#REF!" lockText="1" noThreeD="1"/>
</file>

<file path=xl/ctrlProps/ctrlProp822.xml><?xml version="1.0" encoding="utf-8"?>
<formControlPr xmlns="http://schemas.microsoft.com/office/spreadsheetml/2009/9/main" objectType="CheckBox" fmlaLink="Activity!#REF!" lockText="1" noThreeD="1"/>
</file>

<file path=xl/ctrlProps/ctrlProp823.xml><?xml version="1.0" encoding="utf-8"?>
<formControlPr xmlns="http://schemas.microsoft.com/office/spreadsheetml/2009/9/main" objectType="CheckBox" fmlaLink="Activity!#REF!" lockText="1" noThreeD="1"/>
</file>

<file path=xl/ctrlProps/ctrlProp824.xml><?xml version="1.0" encoding="utf-8"?>
<formControlPr xmlns="http://schemas.microsoft.com/office/spreadsheetml/2009/9/main" objectType="CheckBox" fmlaLink="Activity!#REF!" lockText="1" noThreeD="1"/>
</file>

<file path=xl/ctrlProps/ctrlProp825.xml><?xml version="1.0" encoding="utf-8"?>
<formControlPr xmlns="http://schemas.microsoft.com/office/spreadsheetml/2009/9/main" objectType="CheckBox" fmlaLink="Activity!#REF!" lockText="1" noThreeD="1"/>
</file>

<file path=xl/ctrlProps/ctrlProp826.xml><?xml version="1.0" encoding="utf-8"?>
<formControlPr xmlns="http://schemas.microsoft.com/office/spreadsheetml/2009/9/main" objectType="CheckBox" fmlaLink="Activity!#REF!" lockText="1" noThreeD="1"/>
</file>

<file path=xl/ctrlProps/ctrlProp827.xml><?xml version="1.0" encoding="utf-8"?>
<formControlPr xmlns="http://schemas.microsoft.com/office/spreadsheetml/2009/9/main" objectType="CheckBox" fmlaLink="Activity!#REF!" lockText="1" noThreeD="1"/>
</file>

<file path=xl/ctrlProps/ctrlProp828.xml><?xml version="1.0" encoding="utf-8"?>
<formControlPr xmlns="http://schemas.microsoft.com/office/spreadsheetml/2009/9/main" objectType="CheckBox" fmlaLink="Activity!#REF!" lockText="1" noThreeD="1"/>
</file>

<file path=xl/ctrlProps/ctrlProp829.xml><?xml version="1.0" encoding="utf-8"?>
<formControlPr xmlns="http://schemas.microsoft.com/office/spreadsheetml/2009/9/main" objectType="CheckBox" fmlaLink="Activity!#REF!" lockText="1" noThreeD="1"/>
</file>

<file path=xl/ctrlProps/ctrlProp830.xml><?xml version="1.0" encoding="utf-8"?>
<formControlPr xmlns="http://schemas.microsoft.com/office/spreadsheetml/2009/9/main" objectType="CheckBox" fmlaLink="Activity!#REF!" lockText="1" noThreeD="1"/>
</file>

<file path=xl/ctrlProps/ctrlProp831.xml><?xml version="1.0" encoding="utf-8"?>
<formControlPr xmlns="http://schemas.microsoft.com/office/spreadsheetml/2009/9/main" objectType="CheckBox" fmlaLink="Activity!#REF!" lockText="1" noThreeD="1"/>
</file>

<file path=xl/ctrlProps/ctrlProp832.xml><?xml version="1.0" encoding="utf-8"?>
<formControlPr xmlns="http://schemas.microsoft.com/office/spreadsheetml/2009/9/main" objectType="CheckBox" fmlaLink="Activity!#REF!" lockText="1" noThreeD="1"/>
</file>

<file path=xl/ctrlProps/ctrlProp833.xml><?xml version="1.0" encoding="utf-8"?>
<formControlPr xmlns="http://schemas.microsoft.com/office/spreadsheetml/2009/9/main" objectType="CheckBox" fmlaLink="Activity!#REF!" lockText="1" noThreeD="1"/>
</file>

<file path=xl/ctrlProps/ctrlProp834.xml><?xml version="1.0" encoding="utf-8"?>
<formControlPr xmlns="http://schemas.microsoft.com/office/spreadsheetml/2009/9/main" objectType="CheckBox" fmlaLink="Activity!#REF!" lockText="1" noThreeD="1"/>
</file>

<file path=xl/ctrlProps/ctrlProp835.xml><?xml version="1.0" encoding="utf-8"?>
<formControlPr xmlns="http://schemas.microsoft.com/office/spreadsheetml/2009/9/main" objectType="CheckBox" fmlaLink="Activity!#REF!" lockText="1" noThreeD="1"/>
</file>

<file path=xl/ctrlProps/ctrlProp836.xml><?xml version="1.0" encoding="utf-8"?>
<formControlPr xmlns="http://schemas.microsoft.com/office/spreadsheetml/2009/9/main" objectType="CheckBox" fmlaLink="Activity!#REF!" lockText="1" noThreeD="1"/>
</file>

<file path=xl/ctrlProps/ctrlProp837.xml><?xml version="1.0" encoding="utf-8"?>
<formControlPr xmlns="http://schemas.microsoft.com/office/spreadsheetml/2009/9/main" objectType="CheckBox" fmlaLink="Activity!#REF!" lockText="1" noThreeD="1"/>
</file>

<file path=xl/ctrlProps/ctrlProp838.xml><?xml version="1.0" encoding="utf-8"?>
<formControlPr xmlns="http://schemas.microsoft.com/office/spreadsheetml/2009/9/main" objectType="CheckBox" fmlaLink="Activity!#REF!" lockText="1" noThreeD="1"/>
</file>

<file path=xl/ctrlProps/ctrlProp839.xml><?xml version="1.0" encoding="utf-8"?>
<formControlPr xmlns="http://schemas.microsoft.com/office/spreadsheetml/2009/9/main" objectType="CheckBox" fmlaLink="Activity!#REF!" lockText="1" noThreeD="1"/>
</file>

<file path=xl/ctrlProps/ctrlProp840.xml><?xml version="1.0" encoding="utf-8"?>
<formControlPr xmlns="http://schemas.microsoft.com/office/spreadsheetml/2009/9/main" objectType="CheckBox" fmlaLink="Activity!#REF!" lockText="1" noThreeD="1"/>
</file>

<file path=xl/ctrlProps/ctrlProp841.xml><?xml version="1.0" encoding="utf-8"?>
<formControlPr xmlns="http://schemas.microsoft.com/office/spreadsheetml/2009/9/main" objectType="CheckBox" fmlaLink="Activity!#REF!" lockText="1" noThreeD="1"/>
</file>

<file path=xl/ctrlProps/ctrlProp842.xml><?xml version="1.0" encoding="utf-8"?>
<formControlPr xmlns="http://schemas.microsoft.com/office/spreadsheetml/2009/9/main" objectType="CheckBox" fmlaLink="Activity!#REF!" lockText="1" noThreeD="1"/>
</file>

<file path=xl/ctrlProps/ctrlProp843.xml><?xml version="1.0" encoding="utf-8"?>
<formControlPr xmlns="http://schemas.microsoft.com/office/spreadsheetml/2009/9/main" objectType="CheckBox" fmlaLink="Activity!#REF!" lockText="1" noThreeD="1"/>
</file>

<file path=xl/ctrlProps/ctrlProp844.xml><?xml version="1.0" encoding="utf-8"?>
<formControlPr xmlns="http://schemas.microsoft.com/office/spreadsheetml/2009/9/main" objectType="CheckBox" fmlaLink="Activity!#REF!" lockText="1" noThreeD="1"/>
</file>

<file path=xl/ctrlProps/ctrlProp845.xml><?xml version="1.0" encoding="utf-8"?>
<formControlPr xmlns="http://schemas.microsoft.com/office/spreadsheetml/2009/9/main" objectType="CheckBox" fmlaLink="Activity!#REF!" lockText="1" noThreeD="1"/>
</file>

<file path=xl/ctrlProps/ctrlProp846.xml><?xml version="1.0" encoding="utf-8"?>
<formControlPr xmlns="http://schemas.microsoft.com/office/spreadsheetml/2009/9/main" objectType="CheckBox" fmlaLink="Activity!#REF!" lockText="1" noThreeD="1"/>
</file>

<file path=xl/ctrlProps/ctrlProp847.xml><?xml version="1.0" encoding="utf-8"?>
<formControlPr xmlns="http://schemas.microsoft.com/office/spreadsheetml/2009/9/main" objectType="CheckBox" fmlaLink="Activity!#REF!" lockText="1" noThreeD="1"/>
</file>

<file path=xl/ctrlProps/ctrlProp848.xml><?xml version="1.0" encoding="utf-8"?>
<formControlPr xmlns="http://schemas.microsoft.com/office/spreadsheetml/2009/9/main" objectType="CheckBox" fmlaLink="Activity!#REF!" lockText="1" noThreeD="1"/>
</file>

<file path=xl/ctrlProps/ctrlProp849.xml><?xml version="1.0" encoding="utf-8"?>
<formControlPr xmlns="http://schemas.microsoft.com/office/spreadsheetml/2009/9/main" objectType="CheckBox" fmlaLink="Activity!#REF!" lockText="1" noThreeD="1"/>
</file>

<file path=xl/ctrlProps/ctrlProp850.xml><?xml version="1.0" encoding="utf-8"?>
<formControlPr xmlns="http://schemas.microsoft.com/office/spreadsheetml/2009/9/main" objectType="CheckBox" fmlaLink="Activity!#REF!" lockText="1" noThreeD="1"/>
</file>

<file path=xl/ctrlProps/ctrlProp851.xml><?xml version="1.0" encoding="utf-8"?>
<formControlPr xmlns="http://schemas.microsoft.com/office/spreadsheetml/2009/9/main" objectType="CheckBox" fmlaLink="Activity!#REF!" lockText="1" noThreeD="1"/>
</file>

<file path=xl/ctrlProps/ctrlProp852.xml><?xml version="1.0" encoding="utf-8"?>
<formControlPr xmlns="http://schemas.microsoft.com/office/spreadsheetml/2009/9/main" objectType="CheckBox" fmlaLink="Activity!#REF!" lockText="1" noThreeD="1"/>
</file>

<file path=xl/ctrlProps/ctrlProp853.xml><?xml version="1.0" encoding="utf-8"?>
<formControlPr xmlns="http://schemas.microsoft.com/office/spreadsheetml/2009/9/main" objectType="CheckBox" fmlaLink="Activity!#REF!" lockText="1" noThreeD="1"/>
</file>

<file path=xl/ctrlProps/ctrlProp854.xml><?xml version="1.0" encoding="utf-8"?>
<formControlPr xmlns="http://schemas.microsoft.com/office/spreadsheetml/2009/9/main" objectType="CheckBox" fmlaLink="Activity!#REF!" lockText="1" noThreeD="1"/>
</file>

<file path=xl/ctrlProps/ctrlProp855.xml><?xml version="1.0" encoding="utf-8"?>
<formControlPr xmlns="http://schemas.microsoft.com/office/spreadsheetml/2009/9/main" objectType="CheckBox" fmlaLink="Activity!#REF!" lockText="1" noThreeD="1"/>
</file>

<file path=xl/ctrlProps/ctrlProp856.xml><?xml version="1.0" encoding="utf-8"?>
<formControlPr xmlns="http://schemas.microsoft.com/office/spreadsheetml/2009/9/main" objectType="CheckBox" fmlaLink="Activity!#REF!" lockText="1" noThreeD="1"/>
</file>

<file path=xl/ctrlProps/ctrlProp857.xml><?xml version="1.0" encoding="utf-8"?>
<formControlPr xmlns="http://schemas.microsoft.com/office/spreadsheetml/2009/9/main" objectType="CheckBox" fmlaLink="Activity!#REF!" lockText="1" noThreeD="1"/>
</file>

<file path=xl/ctrlProps/ctrlProp858.xml><?xml version="1.0" encoding="utf-8"?>
<formControlPr xmlns="http://schemas.microsoft.com/office/spreadsheetml/2009/9/main" objectType="CheckBox" fmlaLink="Activity!#REF!" lockText="1" noThreeD="1"/>
</file>

<file path=xl/ctrlProps/ctrlProp859.xml><?xml version="1.0" encoding="utf-8"?>
<formControlPr xmlns="http://schemas.microsoft.com/office/spreadsheetml/2009/9/main" objectType="CheckBox" fmlaLink="Activity!#REF!" lockText="1" noThreeD="1"/>
</file>

<file path=xl/ctrlProps/ctrlProp860.xml><?xml version="1.0" encoding="utf-8"?>
<formControlPr xmlns="http://schemas.microsoft.com/office/spreadsheetml/2009/9/main" objectType="CheckBox" fmlaLink="Activity!#REF!" lockText="1" noThreeD="1"/>
</file>

<file path=xl/ctrlProps/ctrlProp861.xml><?xml version="1.0" encoding="utf-8"?>
<formControlPr xmlns="http://schemas.microsoft.com/office/spreadsheetml/2009/9/main" objectType="CheckBox" fmlaLink="Activity!#REF!" lockText="1" noThreeD="1"/>
</file>

<file path=xl/ctrlProps/ctrlProp862.xml><?xml version="1.0" encoding="utf-8"?>
<formControlPr xmlns="http://schemas.microsoft.com/office/spreadsheetml/2009/9/main" objectType="CheckBox" fmlaLink="Activity!#REF!" lockText="1" noThreeD="1"/>
</file>

<file path=xl/ctrlProps/ctrlProp863.xml><?xml version="1.0" encoding="utf-8"?>
<formControlPr xmlns="http://schemas.microsoft.com/office/spreadsheetml/2009/9/main" objectType="CheckBox" fmlaLink="Activity!#REF!" lockText="1" noThreeD="1"/>
</file>

<file path=xl/ctrlProps/ctrlProp864.xml><?xml version="1.0" encoding="utf-8"?>
<formControlPr xmlns="http://schemas.microsoft.com/office/spreadsheetml/2009/9/main" objectType="CheckBox" fmlaLink="Activity!#REF!" lockText="1" noThreeD="1"/>
</file>

<file path=xl/ctrlProps/ctrlProp865.xml><?xml version="1.0" encoding="utf-8"?>
<formControlPr xmlns="http://schemas.microsoft.com/office/spreadsheetml/2009/9/main" objectType="CheckBox" fmlaLink="Activity!#REF!" lockText="1" noThreeD="1"/>
</file>

<file path=xl/ctrlProps/ctrlProp866.xml><?xml version="1.0" encoding="utf-8"?>
<formControlPr xmlns="http://schemas.microsoft.com/office/spreadsheetml/2009/9/main" objectType="CheckBox" fmlaLink="Activity!#REF!" lockText="1" noThreeD="1"/>
</file>

<file path=xl/ctrlProps/ctrlProp867.xml><?xml version="1.0" encoding="utf-8"?>
<formControlPr xmlns="http://schemas.microsoft.com/office/spreadsheetml/2009/9/main" objectType="CheckBox" fmlaLink="Activity!#REF!" lockText="1" noThreeD="1"/>
</file>

<file path=xl/ctrlProps/ctrlProp868.xml><?xml version="1.0" encoding="utf-8"?>
<formControlPr xmlns="http://schemas.microsoft.com/office/spreadsheetml/2009/9/main" objectType="CheckBox" fmlaLink="Activity!#REF!" lockText="1" noThreeD="1"/>
</file>

<file path=xl/ctrlProps/ctrlProp869.xml><?xml version="1.0" encoding="utf-8"?>
<formControlPr xmlns="http://schemas.microsoft.com/office/spreadsheetml/2009/9/main" objectType="CheckBox" fmlaLink="Activity!#REF!" lockText="1" noThreeD="1"/>
</file>

<file path=xl/ctrlProps/ctrlProp870.xml><?xml version="1.0" encoding="utf-8"?>
<formControlPr xmlns="http://schemas.microsoft.com/office/spreadsheetml/2009/9/main" objectType="CheckBox" fmlaLink="Activity!#REF!" lockText="1" noThreeD="1"/>
</file>

<file path=xl/ctrlProps/ctrlProp871.xml><?xml version="1.0" encoding="utf-8"?>
<formControlPr xmlns="http://schemas.microsoft.com/office/spreadsheetml/2009/9/main" objectType="CheckBox" fmlaLink="Activity!#REF!" lockText="1" noThreeD="1"/>
</file>

<file path=xl/ctrlProps/ctrlProp872.xml><?xml version="1.0" encoding="utf-8"?>
<formControlPr xmlns="http://schemas.microsoft.com/office/spreadsheetml/2009/9/main" objectType="CheckBox" fmlaLink="Activity!#REF!" lockText="1" noThreeD="1"/>
</file>

<file path=xl/ctrlProps/ctrlProp873.xml><?xml version="1.0" encoding="utf-8"?>
<formControlPr xmlns="http://schemas.microsoft.com/office/spreadsheetml/2009/9/main" objectType="CheckBox" fmlaLink="Activity!#REF!" lockText="1" noThreeD="1"/>
</file>

<file path=xl/ctrlProps/ctrlProp874.xml><?xml version="1.0" encoding="utf-8"?>
<formControlPr xmlns="http://schemas.microsoft.com/office/spreadsheetml/2009/9/main" objectType="CheckBox" fmlaLink="Activity!#REF!" lockText="1" noThreeD="1"/>
</file>

<file path=xl/ctrlProps/ctrlProp875.xml><?xml version="1.0" encoding="utf-8"?>
<formControlPr xmlns="http://schemas.microsoft.com/office/spreadsheetml/2009/9/main" objectType="CheckBox" fmlaLink="Activity!#REF!" lockText="1" noThreeD="1"/>
</file>

<file path=xl/ctrlProps/ctrlProp876.xml><?xml version="1.0" encoding="utf-8"?>
<formControlPr xmlns="http://schemas.microsoft.com/office/spreadsheetml/2009/9/main" objectType="CheckBox" fmlaLink="Activity!#REF!" lockText="1" noThreeD="1"/>
</file>

<file path=xl/ctrlProps/ctrlProp877.xml><?xml version="1.0" encoding="utf-8"?>
<formControlPr xmlns="http://schemas.microsoft.com/office/spreadsheetml/2009/9/main" objectType="CheckBox" fmlaLink="Activity!#REF!" lockText="1" noThreeD="1"/>
</file>

<file path=xl/ctrlProps/ctrlProp878.xml><?xml version="1.0" encoding="utf-8"?>
<formControlPr xmlns="http://schemas.microsoft.com/office/spreadsheetml/2009/9/main" objectType="CheckBox" fmlaLink="Activity!#REF!" lockText="1" noThreeD="1"/>
</file>

<file path=xl/ctrlProps/ctrlProp879.xml><?xml version="1.0" encoding="utf-8"?>
<formControlPr xmlns="http://schemas.microsoft.com/office/spreadsheetml/2009/9/main" objectType="CheckBox" fmlaLink="Activity!#REF!" lockText="1" noThreeD="1"/>
</file>

<file path=xl/ctrlProps/ctrlProp880.xml><?xml version="1.0" encoding="utf-8"?>
<formControlPr xmlns="http://schemas.microsoft.com/office/spreadsheetml/2009/9/main" objectType="CheckBox" fmlaLink="Activity!#REF!" lockText="1" noThreeD="1"/>
</file>

<file path=xl/ctrlProps/ctrlProp881.xml><?xml version="1.0" encoding="utf-8"?>
<formControlPr xmlns="http://schemas.microsoft.com/office/spreadsheetml/2009/9/main" objectType="CheckBox" fmlaLink="Activity!#REF!" lockText="1" noThreeD="1"/>
</file>

<file path=xl/ctrlProps/ctrlProp882.xml><?xml version="1.0" encoding="utf-8"?>
<formControlPr xmlns="http://schemas.microsoft.com/office/spreadsheetml/2009/9/main" objectType="CheckBox" fmlaLink="Activity!#REF!" lockText="1" noThreeD="1"/>
</file>

<file path=xl/ctrlProps/ctrlProp883.xml><?xml version="1.0" encoding="utf-8"?>
<formControlPr xmlns="http://schemas.microsoft.com/office/spreadsheetml/2009/9/main" objectType="CheckBox" fmlaLink="Activity!#REF!" lockText="1" noThreeD="1"/>
</file>

<file path=xl/ctrlProps/ctrlProp884.xml><?xml version="1.0" encoding="utf-8"?>
<formControlPr xmlns="http://schemas.microsoft.com/office/spreadsheetml/2009/9/main" objectType="CheckBox" fmlaLink="Activity!#REF!" lockText="1" noThreeD="1"/>
</file>

<file path=xl/ctrlProps/ctrlProp885.xml><?xml version="1.0" encoding="utf-8"?>
<formControlPr xmlns="http://schemas.microsoft.com/office/spreadsheetml/2009/9/main" objectType="CheckBox" fmlaLink="Activity!#REF!" lockText="1" noThreeD="1"/>
</file>

<file path=xl/ctrlProps/ctrlProp886.xml><?xml version="1.0" encoding="utf-8"?>
<formControlPr xmlns="http://schemas.microsoft.com/office/spreadsheetml/2009/9/main" objectType="CheckBox" fmlaLink="Activity!#REF!" lockText="1" noThreeD="1"/>
</file>

<file path=xl/ctrlProps/ctrlProp887.xml><?xml version="1.0" encoding="utf-8"?>
<formControlPr xmlns="http://schemas.microsoft.com/office/spreadsheetml/2009/9/main" objectType="CheckBox" fmlaLink="Activity!#REF!" lockText="1" noThreeD="1"/>
</file>

<file path=xl/ctrlProps/ctrlProp888.xml><?xml version="1.0" encoding="utf-8"?>
<formControlPr xmlns="http://schemas.microsoft.com/office/spreadsheetml/2009/9/main" objectType="CheckBox" fmlaLink="Activity!#REF!" lockText="1" noThreeD="1"/>
</file>

<file path=xl/ctrlProps/ctrlProp889.xml><?xml version="1.0" encoding="utf-8"?>
<formControlPr xmlns="http://schemas.microsoft.com/office/spreadsheetml/2009/9/main" objectType="CheckBox" fmlaLink="Activity!#REF!" lockText="1" noThreeD="1"/>
</file>

<file path=xl/ctrlProps/ctrlProp890.xml><?xml version="1.0" encoding="utf-8"?>
<formControlPr xmlns="http://schemas.microsoft.com/office/spreadsheetml/2009/9/main" objectType="CheckBox" fmlaLink="Activity!#REF!" lockText="1" noThreeD="1"/>
</file>

<file path=xl/ctrlProps/ctrlProp891.xml><?xml version="1.0" encoding="utf-8"?>
<formControlPr xmlns="http://schemas.microsoft.com/office/spreadsheetml/2009/9/main" objectType="CheckBox" fmlaLink="Activity!#REF!" lockText="1" noThreeD="1"/>
</file>

<file path=xl/ctrlProps/ctrlProp892.xml><?xml version="1.0" encoding="utf-8"?>
<formControlPr xmlns="http://schemas.microsoft.com/office/spreadsheetml/2009/9/main" objectType="CheckBox" fmlaLink="Activity!#REF!" lockText="1" noThreeD="1"/>
</file>

<file path=xl/ctrlProps/ctrlProp893.xml><?xml version="1.0" encoding="utf-8"?>
<formControlPr xmlns="http://schemas.microsoft.com/office/spreadsheetml/2009/9/main" objectType="CheckBox" fmlaLink="Activity!#REF!" lockText="1" noThreeD="1"/>
</file>

<file path=xl/ctrlProps/ctrlProp894.xml><?xml version="1.0" encoding="utf-8"?>
<formControlPr xmlns="http://schemas.microsoft.com/office/spreadsheetml/2009/9/main" objectType="CheckBox" fmlaLink="Activity!#REF!" lockText="1" noThreeD="1"/>
</file>

<file path=xl/ctrlProps/ctrlProp895.xml><?xml version="1.0" encoding="utf-8"?>
<formControlPr xmlns="http://schemas.microsoft.com/office/spreadsheetml/2009/9/main" objectType="CheckBox" fmlaLink="Activity!#REF!" lockText="1" noThreeD="1"/>
</file>

<file path=xl/ctrlProps/ctrlProp896.xml><?xml version="1.0" encoding="utf-8"?>
<formControlPr xmlns="http://schemas.microsoft.com/office/spreadsheetml/2009/9/main" objectType="CheckBox" fmlaLink="Activity!#REF!" lockText="1" noThreeD="1"/>
</file>

<file path=xl/ctrlProps/ctrlProp897.xml><?xml version="1.0" encoding="utf-8"?>
<formControlPr xmlns="http://schemas.microsoft.com/office/spreadsheetml/2009/9/main" objectType="CheckBox" fmlaLink="Activity!#REF!" lockText="1" noThreeD="1"/>
</file>

<file path=xl/ctrlProps/ctrlProp898.xml><?xml version="1.0" encoding="utf-8"?>
<formControlPr xmlns="http://schemas.microsoft.com/office/spreadsheetml/2009/9/main" objectType="CheckBox" fmlaLink="Activity!#REF!" lockText="1" noThreeD="1"/>
</file>

<file path=xl/ctrlProps/ctrlProp899.xml><?xml version="1.0" encoding="utf-8"?>
<formControlPr xmlns="http://schemas.microsoft.com/office/spreadsheetml/2009/9/main" objectType="CheckBox" fmlaLink="Activity!#REF!" lockText="1" noThreeD="1"/>
</file>

<file path=xl/ctrlProps/ctrlProp900.xml><?xml version="1.0" encoding="utf-8"?>
<formControlPr xmlns="http://schemas.microsoft.com/office/spreadsheetml/2009/9/main" objectType="CheckBox" fmlaLink="Activity!#REF!" lockText="1" noThreeD="1"/>
</file>

<file path=xl/ctrlProps/ctrlProp901.xml><?xml version="1.0" encoding="utf-8"?>
<formControlPr xmlns="http://schemas.microsoft.com/office/spreadsheetml/2009/9/main" objectType="CheckBox" fmlaLink="Activity!#REF!" lockText="1" noThreeD="1"/>
</file>

<file path=xl/ctrlProps/ctrlProp902.xml><?xml version="1.0" encoding="utf-8"?>
<formControlPr xmlns="http://schemas.microsoft.com/office/spreadsheetml/2009/9/main" objectType="CheckBox" fmlaLink="Activity!#REF!" lockText="1" noThreeD="1"/>
</file>

<file path=xl/ctrlProps/ctrlProp903.xml><?xml version="1.0" encoding="utf-8"?>
<formControlPr xmlns="http://schemas.microsoft.com/office/spreadsheetml/2009/9/main" objectType="CheckBox" fmlaLink="Activity!#REF!" lockText="1" noThreeD="1"/>
</file>

<file path=xl/ctrlProps/ctrlProp904.xml><?xml version="1.0" encoding="utf-8"?>
<formControlPr xmlns="http://schemas.microsoft.com/office/spreadsheetml/2009/9/main" objectType="CheckBox" fmlaLink="Activity!#REF!" lockText="1" noThreeD="1"/>
</file>

<file path=xl/ctrlProps/ctrlProp905.xml><?xml version="1.0" encoding="utf-8"?>
<formControlPr xmlns="http://schemas.microsoft.com/office/spreadsheetml/2009/9/main" objectType="CheckBox" fmlaLink="Activity!#REF!" lockText="1" noThreeD="1"/>
</file>

<file path=xl/ctrlProps/ctrlProp906.xml><?xml version="1.0" encoding="utf-8"?>
<formControlPr xmlns="http://schemas.microsoft.com/office/spreadsheetml/2009/9/main" objectType="CheckBox" fmlaLink="Activity!#REF!" lockText="1" noThreeD="1"/>
</file>

<file path=xl/ctrlProps/ctrlProp907.xml><?xml version="1.0" encoding="utf-8"?>
<formControlPr xmlns="http://schemas.microsoft.com/office/spreadsheetml/2009/9/main" objectType="CheckBox" fmlaLink="Activity!#REF!" lockText="1" noThreeD="1"/>
</file>

<file path=xl/ctrlProps/ctrlProp908.xml><?xml version="1.0" encoding="utf-8"?>
<formControlPr xmlns="http://schemas.microsoft.com/office/spreadsheetml/2009/9/main" objectType="CheckBox" fmlaLink="Activity!#REF!" lockText="1" noThreeD="1"/>
</file>

<file path=xl/ctrlProps/ctrlProp909.xml><?xml version="1.0" encoding="utf-8"?>
<formControlPr xmlns="http://schemas.microsoft.com/office/spreadsheetml/2009/9/main" objectType="CheckBox" fmlaLink="Activity!#REF!" lockText="1" noThreeD="1"/>
</file>

<file path=xl/ctrlProps/ctrlProp910.xml><?xml version="1.0" encoding="utf-8"?>
<formControlPr xmlns="http://schemas.microsoft.com/office/spreadsheetml/2009/9/main" objectType="CheckBox" fmlaLink="Activity!#REF!" lockText="1" noThreeD="1"/>
</file>

<file path=xl/ctrlProps/ctrlProp911.xml><?xml version="1.0" encoding="utf-8"?>
<formControlPr xmlns="http://schemas.microsoft.com/office/spreadsheetml/2009/9/main" objectType="CheckBox" fmlaLink="Activity!#REF!" lockText="1" noThreeD="1"/>
</file>

<file path=xl/ctrlProps/ctrlProp912.xml><?xml version="1.0" encoding="utf-8"?>
<formControlPr xmlns="http://schemas.microsoft.com/office/spreadsheetml/2009/9/main" objectType="CheckBox" fmlaLink="Activity!#REF!" lockText="1" noThreeD="1"/>
</file>

<file path=xl/ctrlProps/ctrlProp913.xml><?xml version="1.0" encoding="utf-8"?>
<formControlPr xmlns="http://schemas.microsoft.com/office/spreadsheetml/2009/9/main" objectType="CheckBox" fmlaLink="Activity!#REF!" lockText="1" noThreeD="1"/>
</file>

<file path=xl/ctrlProps/ctrlProp914.xml><?xml version="1.0" encoding="utf-8"?>
<formControlPr xmlns="http://schemas.microsoft.com/office/spreadsheetml/2009/9/main" objectType="CheckBox" fmlaLink="Activity!#REF!" lockText="1" noThreeD="1"/>
</file>

<file path=xl/ctrlProps/ctrlProp915.xml><?xml version="1.0" encoding="utf-8"?>
<formControlPr xmlns="http://schemas.microsoft.com/office/spreadsheetml/2009/9/main" objectType="CheckBox" fmlaLink="Activity!#REF!" lockText="1" noThreeD="1"/>
</file>

<file path=xl/ctrlProps/ctrlProp916.xml><?xml version="1.0" encoding="utf-8"?>
<formControlPr xmlns="http://schemas.microsoft.com/office/spreadsheetml/2009/9/main" objectType="CheckBox" fmlaLink="Activity!#REF!" lockText="1" noThreeD="1"/>
</file>

<file path=xl/ctrlProps/ctrlProp917.xml><?xml version="1.0" encoding="utf-8"?>
<formControlPr xmlns="http://schemas.microsoft.com/office/spreadsheetml/2009/9/main" objectType="CheckBox" fmlaLink="Activity!#REF!" lockText="1" noThreeD="1"/>
</file>

<file path=xl/ctrlProps/ctrlProp918.xml><?xml version="1.0" encoding="utf-8"?>
<formControlPr xmlns="http://schemas.microsoft.com/office/spreadsheetml/2009/9/main" objectType="CheckBox" fmlaLink="Activity!#REF!" lockText="1" noThreeD="1"/>
</file>

<file path=xl/ctrlProps/ctrlProp919.xml><?xml version="1.0" encoding="utf-8"?>
<formControlPr xmlns="http://schemas.microsoft.com/office/spreadsheetml/2009/9/main" objectType="CheckBox" fmlaLink="Activity!#REF!" lockText="1" noThreeD="1"/>
</file>

<file path=xl/ctrlProps/ctrlProp920.xml><?xml version="1.0" encoding="utf-8"?>
<formControlPr xmlns="http://schemas.microsoft.com/office/spreadsheetml/2009/9/main" objectType="CheckBox" fmlaLink="Activity!#REF!" lockText="1" noThreeD="1"/>
</file>

<file path=xl/ctrlProps/ctrlProp921.xml><?xml version="1.0" encoding="utf-8"?>
<formControlPr xmlns="http://schemas.microsoft.com/office/spreadsheetml/2009/9/main" objectType="CheckBox" fmlaLink="Activity!#REF!" lockText="1" noThreeD="1"/>
</file>

<file path=xl/ctrlProps/ctrlProp922.xml><?xml version="1.0" encoding="utf-8"?>
<formControlPr xmlns="http://schemas.microsoft.com/office/spreadsheetml/2009/9/main" objectType="CheckBox" fmlaLink="Activity!#REF!" lockText="1" noThreeD="1"/>
</file>

<file path=xl/ctrlProps/ctrlProp923.xml><?xml version="1.0" encoding="utf-8"?>
<formControlPr xmlns="http://schemas.microsoft.com/office/spreadsheetml/2009/9/main" objectType="CheckBox" fmlaLink="Activity!#REF!" lockText="1" noThreeD="1"/>
</file>

<file path=xl/ctrlProps/ctrlProp924.xml><?xml version="1.0" encoding="utf-8"?>
<formControlPr xmlns="http://schemas.microsoft.com/office/spreadsheetml/2009/9/main" objectType="CheckBox" fmlaLink="Activity!#REF!" lockText="1" noThreeD="1"/>
</file>

<file path=xl/ctrlProps/ctrlProp925.xml><?xml version="1.0" encoding="utf-8"?>
<formControlPr xmlns="http://schemas.microsoft.com/office/spreadsheetml/2009/9/main" objectType="CheckBox" fmlaLink="Activity!#REF!" lockText="1" noThreeD="1"/>
</file>

<file path=xl/ctrlProps/ctrlProp926.xml><?xml version="1.0" encoding="utf-8"?>
<formControlPr xmlns="http://schemas.microsoft.com/office/spreadsheetml/2009/9/main" objectType="CheckBox" fmlaLink="Activity!#REF!" lockText="1" noThreeD="1"/>
</file>

<file path=xl/ctrlProps/ctrlProp927.xml><?xml version="1.0" encoding="utf-8"?>
<formControlPr xmlns="http://schemas.microsoft.com/office/spreadsheetml/2009/9/main" objectType="CheckBox" fmlaLink="Activity!#REF!" lockText="1" noThreeD="1"/>
</file>

<file path=xl/ctrlProps/ctrlProp928.xml><?xml version="1.0" encoding="utf-8"?>
<formControlPr xmlns="http://schemas.microsoft.com/office/spreadsheetml/2009/9/main" objectType="CheckBox" fmlaLink="Activity!#REF!" lockText="1" noThreeD="1"/>
</file>

<file path=xl/ctrlProps/ctrlProp929.xml><?xml version="1.0" encoding="utf-8"?>
<formControlPr xmlns="http://schemas.microsoft.com/office/spreadsheetml/2009/9/main" objectType="CheckBox" fmlaLink="Activity!#REF!" lockText="1" noThreeD="1"/>
</file>

<file path=xl/ctrlProps/ctrlProp930.xml><?xml version="1.0" encoding="utf-8"?>
<formControlPr xmlns="http://schemas.microsoft.com/office/spreadsheetml/2009/9/main" objectType="CheckBox" fmlaLink="Activity!#REF!" lockText="1" noThreeD="1"/>
</file>

<file path=xl/ctrlProps/ctrlProp931.xml><?xml version="1.0" encoding="utf-8"?>
<formControlPr xmlns="http://schemas.microsoft.com/office/spreadsheetml/2009/9/main" objectType="CheckBox" fmlaLink="Activity!#REF!" lockText="1" noThreeD="1"/>
</file>

<file path=xl/ctrlProps/ctrlProp932.xml><?xml version="1.0" encoding="utf-8"?>
<formControlPr xmlns="http://schemas.microsoft.com/office/spreadsheetml/2009/9/main" objectType="CheckBox" fmlaLink="Activity!#REF!" lockText="1" noThreeD="1"/>
</file>

<file path=xl/ctrlProps/ctrlProp933.xml><?xml version="1.0" encoding="utf-8"?>
<formControlPr xmlns="http://schemas.microsoft.com/office/spreadsheetml/2009/9/main" objectType="CheckBox" fmlaLink="Activity!#REF!" lockText="1" noThreeD="1"/>
</file>

<file path=xl/ctrlProps/ctrlProp934.xml><?xml version="1.0" encoding="utf-8"?>
<formControlPr xmlns="http://schemas.microsoft.com/office/spreadsheetml/2009/9/main" objectType="CheckBox" fmlaLink="Activity!#REF!" lockText="1" noThreeD="1"/>
</file>

<file path=xl/ctrlProps/ctrlProp935.xml><?xml version="1.0" encoding="utf-8"?>
<formControlPr xmlns="http://schemas.microsoft.com/office/spreadsheetml/2009/9/main" objectType="CheckBox" fmlaLink="Activity!#REF!" lockText="1" noThreeD="1"/>
</file>

<file path=xl/ctrlProps/ctrlProp936.xml><?xml version="1.0" encoding="utf-8"?>
<formControlPr xmlns="http://schemas.microsoft.com/office/spreadsheetml/2009/9/main" objectType="CheckBox" fmlaLink="Activity!$H$58" lockText="1" noThreeD="1"/>
</file>

<file path=xl/ctrlProps/ctrlProp937.xml><?xml version="1.0" encoding="utf-8"?>
<formControlPr xmlns="http://schemas.microsoft.com/office/spreadsheetml/2009/9/main" objectType="CheckBox" fmlaLink="Activity!$I$58" lockText="1" noThreeD="1"/>
</file>

<file path=xl/ctrlProps/ctrlProp938.xml><?xml version="1.0" encoding="utf-8"?>
<formControlPr xmlns="http://schemas.microsoft.com/office/spreadsheetml/2009/9/main" objectType="CheckBox" fmlaLink="Activity!$J$58" lockText="1" noThreeD="1"/>
</file>

<file path=xl/ctrlProps/ctrlProp939.xml><?xml version="1.0" encoding="utf-8"?>
<formControlPr xmlns="http://schemas.microsoft.com/office/spreadsheetml/2009/9/main" objectType="CheckBox" fmlaLink="Activity!$H$31" lockText="1" noThreeD="1"/>
</file>

<file path=xl/ctrlProps/ctrlProp940.xml><?xml version="1.0" encoding="utf-8"?>
<formControlPr xmlns="http://schemas.microsoft.com/office/spreadsheetml/2009/9/main" objectType="CheckBox" fmlaLink="Activity!$I$31" lockText="1" noThreeD="1"/>
</file>

<file path=xl/ctrlProps/ctrlProp941.xml><?xml version="1.0" encoding="utf-8"?>
<formControlPr xmlns="http://schemas.microsoft.com/office/spreadsheetml/2009/9/main" objectType="CheckBox" fmlaLink="Activity!$J$31" lockText="1" noThreeD="1"/>
</file>

<file path=xl/ctrlProps/ctrlProp942.xml><?xml version="1.0" encoding="utf-8"?>
<formControlPr xmlns="http://schemas.microsoft.com/office/spreadsheetml/2009/9/main" objectType="CheckBox" fmlaLink="Activity!$H$90" lockText="1" noThreeD="1"/>
</file>

<file path=xl/ctrlProps/ctrlProp943.xml><?xml version="1.0" encoding="utf-8"?>
<formControlPr xmlns="http://schemas.microsoft.com/office/spreadsheetml/2009/9/main" objectType="CheckBox" fmlaLink="Activity!$H$91" lockText="1" noThreeD="1"/>
</file>

<file path=xl/ctrlProps/ctrlProp944.xml><?xml version="1.0" encoding="utf-8"?>
<formControlPr xmlns="http://schemas.microsoft.com/office/spreadsheetml/2009/9/main" objectType="CheckBox" fmlaLink="Activity!$H$92" lockText="1" noThreeD="1"/>
</file>

<file path=xl/ctrlProps/ctrlProp945.xml><?xml version="1.0" encoding="utf-8"?>
<formControlPr xmlns="http://schemas.microsoft.com/office/spreadsheetml/2009/9/main" objectType="CheckBox" fmlaLink="Activity!$I$90" lockText="1" noThreeD="1"/>
</file>

<file path=xl/ctrlProps/ctrlProp946.xml><?xml version="1.0" encoding="utf-8"?>
<formControlPr xmlns="http://schemas.microsoft.com/office/spreadsheetml/2009/9/main" objectType="CheckBox" fmlaLink="Activity!$I$91" lockText="1" noThreeD="1"/>
</file>

<file path=xl/ctrlProps/ctrlProp947.xml><?xml version="1.0" encoding="utf-8"?>
<formControlPr xmlns="http://schemas.microsoft.com/office/spreadsheetml/2009/9/main" objectType="CheckBox" fmlaLink="Activity!$I$92" lockText="1" noThreeD="1"/>
</file>

<file path=xl/ctrlProps/ctrlProp948.xml><?xml version="1.0" encoding="utf-8"?>
<formControlPr xmlns="http://schemas.microsoft.com/office/spreadsheetml/2009/9/main" objectType="CheckBox" fmlaLink="Activity!$J$90" lockText="1" noThreeD="1"/>
</file>

<file path=xl/ctrlProps/ctrlProp949.xml><?xml version="1.0" encoding="utf-8"?>
<formControlPr xmlns="http://schemas.microsoft.com/office/spreadsheetml/2009/9/main" objectType="CheckBox" fmlaLink="Activity!$J$91" lockText="1" noThreeD="1"/>
</file>

<file path=xl/ctrlProps/ctrlProp950.xml><?xml version="1.0" encoding="utf-8"?>
<formControlPr xmlns="http://schemas.microsoft.com/office/spreadsheetml/2009/9/main" objectType="CheckBox" fmlaLink="Activity!$J$92" lockText="1" noThreeD="1"/>
</file>

<file path=xl/ctrlProps/ctrlProp951.xml><?xml version="1.0" encoding="utf-8"?>
<formControlPr xmlns="http://schemas.microsoft.com/office/spreadsheetml/2009/9/main" objectType="Radio" firstButton="1" fmlaLink="$Q$9" lockText="1"/>
</file>

<file path=xl/ctrlProps/ctrlProp952.xml><?xml version="1.0" encoding="utf-8"?>
<formControlPr xmlns="http://schemas.microsoft.com/office/spreadsheetml/2009/9/main" objectType="Radio" lockText="1"/>
</file>

<file path=xl/ctrlProps/ctrlProp953.xml><?xml version="1.0" encoding="utf-8"?>
<formControlPr xmlns="http://schemas.microsoft.com/office/spreadsheetml/2009/9/main" objectType="Radio" checked="Checked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5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20</xdr:row>
      <xdr:rowOff>23812</xdr:rowOff>
    </xdr:from>
    <xdr:to>
      <xdr:col>19</xdr:col>
      <xdr:colOff>238125</xdr:colOff>
      <xdr:row>33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219075</xdr:colOff>
      <xdr:row>1</xdr:row>
      <xdr:rowOff>57150</xdr:rowOff>
    </xdr:from>
    <xdr:to>
      <xdr:col>3</xdr:col>
      <xdr:colOff>742950</xdr:colOff>
      <xdr:row>2</xdr:row>
      <xdr:rowOff>171688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257175"/>
          <a:ext cx="1743075" cy="305038"/>
        </a:xfrm>
        <a:prstGeom prst="rect">
          <a:avLst/>
        </a:prstGeom>
      </xdr:spPr>
    </xdr:pic>
    <xdr:clientData/>
  </xdr:twoCellAnchor>
  <xdr:twoCellAnchor>
    <xdr:from>
      <xdr:col>20</xdr:col>
      <xdr:colOff>9526</xdr:colOff>
      <xdr:row>9</xdr:row>
      <xdr:rowOff>190499</xdr:rowOff>
    </xdr:from>
    <xdr:to>
      <xdr:col>21</xdr:col>
      <xdr:colOff>314326</xdr:colOff>
      <xdr:row>33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447675</xdr:colOff>
      <xdr:row>10</xdr:row>
      <xdr:rowOff>9524</xdr:rowOff>
    </xdr:from>
    <xdr:to>
      <xdr:col>23</xdr:col>
      <xdr:colOff>152400</xdr:colOff>
      <xdr:row>33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304800</xdr:colOff>
      <xdr:row>9</xdr:row>
      <xdr:rowOff>190499</xdr:rowOff>
    </xdr:from>
    <xdr:to>
      <xdr:col>25</xdr:col>
      <xdr:colOff>4763</xdr:colOff>
      <xdr:row>33</xdr:row>
      <xdr:rowOff>76200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104775</xdr:colOff>
      <xdr:row>2</xdr:row>
      <xdr:rowOff>47625</xdr:rowOff>
    </xdr:from>
    <xdr:to>
      <xdr:col>4</xdr:col>
      <xdr:colOff>476254</xdr:colOff>
      <xdr:row>3</xdr:row>
      <xdr:rowOff>177166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375" y="238125"/>
          <a:ext cx="1828804" cy="32004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0</xdr:row>
      <xdr:rowOff>104775</xdr:rowOff>
    </xdr:from>
    <xdr:to>
      <xdr:col>4</xdr:col>
      <xdr:colOff>485773</xdr:colOff>
      <xdr:row>2</xdr:row>
      <xdr:rowOff>123825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104775"/>
          <a:ext cx="2285998" cy="400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180975</xdr:colOff>
          <xdr:row>7</xdr:row>
          <xdr:rowOff>9525</xdr:rowOff>
        </xdr:from>
        <xdr:to>
          <xdr:col>20</xdr:col>
          <xdr:colOff>381000</xdr:colOff>
          <xdr:row>7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2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180975</xdr:colOff>
          <xdr:row>8</xdr:row>
          <xdr:rowOff>9525</xdr:rowOff>
        </xdr:from>
        <xdr:to>
          <xdr:col>20</xdr:col>
          <xdr:colOff>381000</xdr:colOff>
          <xdr:row>8</xdr:row>
          <xdr:rowOff>171450</xdr:rowOff>
        </xdr:to>
        <xdr:sp macro="" textlink="">
          <xdr:nvSpPr>
            <xdr:cNvPr id="2074" name="Check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2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180975</xdr:colOff>
          <xdr:row>9</xdr:row>
          <xdr:rowOff>9525</xdr:rowOff>
        </xdr:from>
        <xdr:to>
          <xdr:col>20</xdr:col>
          <xdr:colOff>381000</xdr:colOff>
          <xdr:row>9</xdr:row>
          <xdr:rowOff>171450</xdr:rowOff>
        </xdr:to>
        <xdr:sp macro="" textlink="">
          <xdr:nvSpPr>
            <xdr:cNvPr id="2075" name="Check Box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2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180975</xdr:colOff>
          <xdr:row>10</xdr:row>
          <xdr:rowOff>9525</xdr:rowOff>
        </xdr:from>
        <xdr:to>
          <xdr:col>20</xdr:col>
          <xdr:colOff>381000</xdr:colOff>
          <xdr:row>10</xdr:row>
          <xdr:rowOff>171450</xdr:rowOff>
        </xdr:to>
        <xdr:sp macro="" textlink="">
          <xdr:nvSpPr>
            <xdr:cNvPr id="2076" name="Check Box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2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180975</xdr:colOff>
          <xdr:row>11</xdr:row>
          <xdr:rowOff>9525</xdr:rowOff>
        </xdr:from>
        <xdr:to>
          <xdr:col>20</xdr:col>
          <xdr:colOff>381000</xdr:colOff>
          <xdr:row>11</xdr:row>
          <xdr:rowOff>171450</xdr:rowOff>
        </xdr:to>
        <xdr:sp macro="" textlink="">
          <xdr:nvSpPr>
            <xdr:cNvPr id="2077" name="Check Box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2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180975</xdr:colOff>
          <xdr:row>12</xdr:row>
          <xdr:rowOff>9525</xdr:rowOff>
        </xdr:from>
        <xdr:to>
          <xdr:col>20</xdr:col>
          <xdr:colOff>381000</xdr:colOff>
          <xdr:row>12</xdr:row>
          <xdr:rowOff>171450</xdr:rowOff>
        </xdr:to>
        <xdr:sp macro="" textlink="">
          <xdr:nvSpPr>
            <xdr:cNvPr id="2078" name="Check Box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2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180975</xdr:colOff>
          <xdr:row>13</xdr:row>
          <xdr:rowOff>9525</xdr:rowOff>
        </xdr:from>
        <xdr:to>
          <xdr:col>20</xdr:col>
          <xdr:colOff>381000</xdr:colOff>
          <xdr:row>13</xdr:row>
          <xdr:rowOff>171450</xdr:rowOff>
        </xdr:to>
        <xdr:sp macro="" textlink="">
          <xdr:nvSpPr>
            <xdr:cNvPr id="2079" name="Check Box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2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180975</xdr:colOff>
          <xdr:row>14</xdr:row>
          <xdr:rowOff>9525</xdr:rowOff>
        </xdr:from>
        <xdr:to>
          <xdr:col>20</xdr:col>
          <xdr:colOff>381000</xdr:colOff>
          <xdr:row>14</xdr:row>
          <xdr:rowOff>171450</xdr:rowOff>
        </xdr:to>
        <xdr:sp macro="" textlink="">
          <xdr:nvSpPr>
            <xdr:cNvPr id="2080" name="Check Box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2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180975</xdr:colOff>
          <xdr:row>15</xdr:row>
          <xdr:rowOff>9525</xdr:rowOff>
        </xdr:from>
        <xdr:to>
          <xdr:col>20</xdr:col>
          <xdr:colOff>381000</xdr:colOff>
          <xdr:row>15</xdr:row>
          <xdr:rowOff>171450</xdr:rowOff>
        </xdr:to>
        <xdr:sp macro="" textlink="">
          <xdr:nvSpPr>
            <xdr:cNvPr id="2081" name="Check Box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2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180975</xdr:colOff>
          <xdr:row>16</xdr:row>
          <xdr:rowOff>9525</xdr:rowOff>
        </xdr:from>
        <xdr:to>
          <xdr:col>20</xdr:col>
          <xdr:colOff>381000</xdr:colOff>
          <xdr:row>16</xdr:row>
          <xdr:rowOff>171450</xdr:rowOff>
        </xdr:to>
        <xdr:sp macro="" textlink="">
          <xdr:nvSpPr>
            <xdr:cNvPr id="2082" name="Check Box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2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180975</xdr:colOff>
          <xdr:row>17</xdr:row>
          <xdr:rowOff>9525</xdr:rowOff>
        </xdr:from>
        <xdr:to>
          <xdr:col>20</xdr:col>
          <xdr:colOff>381000</xdr:colOff>
          <xdr:row>17</xdr:row>
          <xdr:rowOff>171450</xdr:rowOff>
        </xdr:to>
        <xdr:sp macro="" textlink="">
          <xdr:nvSpPr>
            <xdr:cNvPr id="2083" name="Check Box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2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180975</xdr:colOff>
          <xdr:row>18</xdr:row>
          <xdr:rowOff>9525</xdr:rowOff>
        </xdr:from>
        <xdr:to>
          <xdr:col>20</xdr:col>
          <xdr:colOff>381000</xdr:colOff>
          <xdr:row>18</xdr:row>
          <xdr:rowOff>171450</xdr:rowOff>
        </xdr:to>
        <xdr:sp macro="" textlink="">
          <xdr:nvSpPr>
            <xdr:cNvPr id="2084" name="Check Box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2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180975</xdr:colOff>
          <xdr:row>19</xdr:row>
          <xdr:rowOff>9525</xdr:rowOff>
        </xdr:from>
        <xdr:to>
          <xdr:col>20</xdr:col>
          <xdr:colOff>381000</xdr:colOff>
          <xdr:row>19</xdr:row>
          <xdr:rowOff>171450</xdr:rowOff>
        </xdr:to>
        <xdr:sp macro="" textlink="">
          <xdr:nvSpPr>
            <xdr:cNvPr id="2085" name="Check Box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2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180975</xdr:colOff>
          <xdr:row>20</xdr:row>
          <xdr:rowOff>9525</xdr:rowOff>
        </xdr:from>
        <xdr:to>
          <xdr:col>20</xdr:col>
          <xdr:colOff>381000</xdr:colOff>
          <xdr:row>20</xdr:row>
          <xdr:rowOff>171450</xdr:rowOff>
        </xdr:to>
        <xdr:sp macro="" textlink="">
          <xdr:nvSpPr>
            <xdr:cNvPr id="2086" name="Check Box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2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180975</xdr:colOff>
          <xdr:row>21</xdr:row>
          <xdr:rowOff>9525</xdr:rowOff>
        </xdr:from>
        <xdr:to>
          <xdr:col>20</xdr:col>
          <xdr:colOff>381000</xdr:colOff>
          <xdr:row>21</xdr:row>
          <xdr:rowOff>171450</xdr:rowOff>
        </xdr:to>
        <xdr:sp macro="" textlink="">
          <xdr:nvSpPr>
            <xdr:cNvPr id="2087" name="Check Box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2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180975</xdr:colOff>
          <xdr:row>22</xdr:row>
          <xdr:rowOff>9525</xdr:rowOff>
        </xdr:from>
        <xdr:to>
          <xdr:col>20</xdr:col>
          <xdr:colOff>381000</xdr:colOff>
          <xdr:row>22</xdr:row>
          <xdr:rowOff>171450</xdr:rowOff>
        </xdr:to>
        <xdr:sp macro="" textlink="">
          <xdr:nvSpPr>
            <xdr:cNvPr id="2088" name="Check Box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2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180975</xdr:colOff>
          <xdr:row>23</xdr:row>
          <xdr:rowOff>9525</xdr:rowOff>
        </xdr:from>
        <xdr:to>
          <xdr:col>20</xdr:col>
          <xdr:colOff>381000</xdr:colOff>
          <xdr:row>23</xdr:row>
          <xdr:rowOff>171450</xdr:rowOff>
        </xdr:to>
        <xdr:sp macro="" textlink="">
          <xdr:nvSpPr>
            <xdr:cNvPr id="2089" name="Check Box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2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180975</xdr:colOff>
          <xdr:row>24</xdr:row>
          <xdr:rowOff>9525</xdr:rowOff>
        </xdr:from>
        <xdr:to>
          <xdr:col>20</xdr:col>
          <xdr:colOff>381000</xdr:colOff>
          <xdr:row>24</xdr:row>
          <xdr:rowOff>171450</xdr:rowOff>
        </xdr:to>
        <xdr:sp macro="" textlink="">
          <xdr:nvSpPr>
            <xdr:cNvPr id="2090" name="Check Box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2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180975</xdr:colOff>
          <xdr:row>25</xdr:row>
          <xdr:rowOff>9525</xdr:rowOff>
        </xdr:from>
        <xdr:to>
          <xdr:col>20</xdr:col>
          <xdr:colOff>381000</xdr:colOff>
          <xdr:row>25</xdr:row>
          <xdr:rowOff>171450</xdr:rowOff>
        </xdr:to>
        <xdr:sp macro="" textlink="">
          <xdr:nvSpPr>
            <xdr:cNvPr id="2091" name="Check Box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2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180975</xdr:colOff>
          <xdr:row>26</xdr:row>
          <xdr:rowOff>9525</xdr:rowOff>
        </xdr:from>
        <xdr:to>
          <xdr:col>20</xdr:col>
          <xdr:colOff>381000</xdr:colOff>
          <xdr:row>26</xdr:row>
          <xdr:rowOff>171450</xdr:rowOff>
        </xdr:to>
        <xdr:sp macro="" textlink="">
          <xdr:nvSpPr>
            <xdr:cNvPr id="2092" name="Check Box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2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180975</xdr:colOff>
          <xdr:row>27</xdr:row>
          <xdr:rowOff>9525</xdr:rowOff>
        </xdr:from>
        <xdr:to>
          <xdr:col>20</xdr:col>
          <xdr:colOff>381000</xdr:colOff>
          <xdr:row>27</xdr:row>
          <xdr:rowOff>171450</xdr:rowOff>
        </xdr:to>
        <xdr:sp macro="" textlink="">
          <xdr:nvSpPr>
            <xdr:cNvPr id="2093" name="Check Box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2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180975</xdr:colOff>
          <xdr:row>28</xdr:row>
          <xdr:rowOff>9525</xdr:rowOff>
        </xdr:from>
        <xdr:to>
          <xdr:col>20</xdr:col>
          <xdr:colOff>381000</xdr:colOff>
          <xdr:row>28</xdr:row>
          <xdr:rowOff>171450</xdr:rowOff>
        </xdr:to>
        <xdr:sp macro="" textlink="">
          <xdr:nvSpPr>
            <xdr:cNvPr id="2094" name="Check Box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2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180975</xdr:colOff>
          <xdr:row>29</xdr:row>
          <xdr:rowOff>9525</xdr:rowOff>
        </xdr:from>
        <xdr:to>
          <xdr:col>20</xdr:col>
          <xdr:colOff>381000</xdr:colOff>
          <xdr:row>29</xdr:row>
          <xdr:rowOff>171450</xdr:rowOff>
        </xdr:to>
        <xdr:sp macro="" textlink="">
          <xdr:nvSpPr>
            <xdr:cNvPr id="2095" name="Check Box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2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6</xdr:row>
          <xdr:rowOff>171450</xdr:rowOff>
        </xdr:from>
        <xdr:to>
          <xdr:col>10</xdr:col>
          <xdr:colOff>495300</xdr:colOff>
          <xdr:row>8</xdr:row>
          <xdr:rowOff>9525</xdr:rowOff>
        </xdr:to>
        <xdr:sp macro="" textlink="">
          <xdr:nvSpPr>
            <xdr:cNvPr id="2096" name="Check Box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2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8</xdr:row>
          <xdr:rowOff>38100</xdr:rowOff>
        </xdr:from>
        <xdr:to>
          <xdr:col>10</xdr:col>
          <xdr:colOff>400050</xdr:colOff>
          <xdr:row>8</xdr:row>
          <xdr:rowOff>171450</xdr:rowOff>
        </xdr:to>
        <xdr:sp macro="" textlink="">
          <xdr:nvSpPr>
            <xdr:cNvPr id="2097" name="Check Box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2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9</xdr:row>
          <xdr:rowOff>38100</xdr:rowOff>
        </xdr:from>
        <xdr:to>
          <xdr:col>10</xdr:col>
          <xdr:colOff>400050</xdr:colOff>
          <xdr:row>9</xdr:row>
          <xdr:rowOff>171450</xdr:rowOff>
        </xdr:to>
        <xdr:sp macro="" textlink="">
          <xdr:nvSpPr>
            <xdr:cNvPr id="2098" name="Check Box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2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10</xdr:row>
          <xdr:rowOff>38100</xdr:rowOff>
        </xdr:from>
        <xdr:to>
          <xdr:col>10</xdr:col>
          <xdr:colOff>400050</xdr:colOff>
          <xdr:row>10</xdr:row>
          <xdr:rowOff>171450</xdr:rowOff>
        </xdr:to>
        <xdr:sp macro="" textlink="">
          <xdr:nvSpPr>
            <xdr:cNvPr id="2099" name="Check Box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2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11</xdr:row>
          <xdr:rowOff>38100</xdr:rowOff>
        </xdr:from>
        <xdr:to>
          <xdr:col>10</xdr:col>
          <xdr:colOff>400050</xdr:colOff>
          <xdr:row>11</xdr:row>
          <xdr:rowOff>171450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2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12</xdr:row>
          <xdr:rowOff>38100</xdr:rowOff>
        </xdr:from>
        <xdr:to>
          <xdr:col>10</xdr:col>
          <xdr:colOff>400050</xdr:colOff>
          <xdr:row>12</xdr:row>
          <xdr:rowOff>171450</xdr:rowOff>
        </xdr:to>
        <xdr:sp macro="" textlink="">
          <xdr:nvSpPr>
            <xdr:cNvPr id="2101" name="Check Box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2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13</xdr:row>
          <xdr:rowOff>38100</xdr:rowOff>
        </xdr:from>
        <xdr:to>
          <xdr:col>10</xdr:col>
          <xdr:colOff>400050</xdr:colOff>
          <xdr:row>13</xdr:row>
          <xdr:rowOff>171450</xdr:rowOff>
        </xdr:to>
        <xdr:sp macro="" textlink="">
          <xdr:nvSpPr>
            <xdr:cNvPr id="2102" name="Check Box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2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14</xdr:row>
          <xdr:rowOff>38100</xdr:rowOff>
        </xdr:from>
        <xdr:to>
          <xdr:col>10</xdr:col>
          <xdr:colOff>400050</xdr:colOff>
          <xdr:row>14</xdr:row>
          <xdr:rowOff>171450</xdr:rowOff>
        </xdr:to>
        <xdr:sp macro="" textlink="">
          <xdr:nvSpPr>
            <xdr:cNvPr id="2103" name="Check Box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2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15</xdr:row>
          <xdr:rowOff>38100</xdr:rowOff>
        </xdr:from>
        <xdr:to>
          <xdr:col>10</xdr:col>
          <xdr:colOff>400050</xdr:colOff>
          <xdr:row>15</xdr:row>
          <xdr:rowOff>171450</xdr:rowOff>
        </xdr:to>
        <xdr:sp macro="" textlink="">
          <xdr:nvSpPr>
            <xdr:cNvPr id="2104" name="Check Box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2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16</xdr:row>
          <xdr:rowOff>38100</xdr:rowOff>
        </xdr:from>
        <xdr:to>
          <xdr:col>10</xdr:col>
          <xdr:colOff>400050</xdr:colOff>
          <xdr:row>16</xdr:row>
          <xdr:rowOff>171450</xdr:rowOff>
        </xdr:to>
        <xdr:sp macro="" textlink="">
          <xdr:nvSpPr>
            <xdr:cNvPr id="2105" name="Check Box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2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17</xdr:row>
          <xdr:rowOff>38100</xdr:rowOff>
        </xdr:from>
        <xdr:to>
          <xdr:col>10</xdr:col>
          <xdr:colOff>400050</xdr:colOff>
          <xdr:row>17</xdr:row>
          <xdr:rowOff>171450</xdr:rowOff>
        </xdr:to>
        <xdr:sp macro="" textlink="">
          <xdr:nvSpPr>
            <xdr:cNvPr id="2106" name="Check Box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2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18</xdr:row>
          <xdr:rowOff>38100</xdr:rowOff>
        </xdr:from>
        <xdr:to>
          <xdr:col>10</xdr:col>
          <xdr:colOff>400050</xdr:colOff>
          <xdr:row>18</xdr:row>
          <xdr:rowOff>171450</xdr:rowOff>
        </xdr:to>
        <xdr:sp macro="" textlink="">
          <xdr:nvSpPr>
            <xdr:cNvPr id="2107" name="Check Box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2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19</xdr:row>
          <xdr:rowOff>38100</xdr:rowOff>
        </xdr:from>
        <xdr:to>
          <xdr:col>10</xdr:col>
          <xdr:colOff>400050</xdr:colOff>
          <xdr:row>19</xdr:row>
          <xdr:rowOff>171450</xdr:rowOff>
        </xdr:to>
        <xdr:sp macro="" textlink="">
          <xdr:nvSpPr>
            <xdr:cNvPr id="2108" name="Check Box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2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20</xdr:row>
          <xdr:rowOff>38100</xdr:rowOff>
        </xdr:from>
        <xdr:to>
          <xdr:col>10</xdr:col>
          <xdr:colOff>400050</xdr:colOff>
          <xdr:row>20</xdr:row>
          <xdr:rowOff>171450</xdr:rowOff>
        </xdr:to>
        <xdr:sp macro="" textlink="">
          <xdr:nvSpPr>
            <xdr:cNvPr id="2109" name="Check Box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2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21</xdr:row>
          <xdr:rowOff>38100</xdr:rowOff>
        </xdr:from>
        <xdr:to>
          <xdr:col>10</xdr:col>
          <xdr:colOff>400050</xdr:colOff>
          <xdr:row>21</xdr:row>
          <xdr:rowOff>171450</xdr:rowOff>
        </xdr:to>
        <xdr:sp macro="" textlink="">
          <xdr:nvSpPr>
            <xdr:cNvPr id="2110" name="Check Box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2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22</xdr:row>
          <xdr:rowOff>38100</xdr:rowOff>
        </xdr:from>
        <xdr:to>
          <xdr:col>10</xdr:col>
          <xdr:colOff>400050</xdr:colOff>
          <xdr:row>22</xdr:row>
          <xdr:rowOff>171450</xdr:rowOff>
        </xdr:to>
        <xdr:sp macro="" textlink="">
          <xdr:nvSpPr>
            <xdr:cNvPr id="2111" name="Check Box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2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23</xdr:row>
          <xdr:rowOff>38100</xdr:rowOff>
        </xdr:from>
        <xdr:to>
          <xdr:col>10</xdr:col>
          <xdr:colOff>400050</xdr:colOff>
          <xdr:row>23</xdr:row>
          <xdr:rowOff>171450</xdr:rowOff>
        </xdr:to>
        <xdr:sp macro="" textlink="">
          <xdr:nvSpPr>
            <xdr:cNvPr id="2112" name="Check Box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2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24</xdr:row>
          <xdr:rowOff>38100</xdr:rowOff>
        </xdr:from>
        <xdr:to>
          <xdr:col>10</xdr:col>
          <xdr:colOff>400050</xdr:colOff>
          <xdr:row>24</xdr:row>
          <xdr:rowOff>171450</xdr:rowOff>
        </xdr:to>
        <xdr:sp macro="" textlink="">
          <xdr:nvSpPr>
            <xdr:cNvPr id="2113" name="Check Box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2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25</xdr:row>
          <xdr:rowOff>38100</xdr:rowOff>
        </xdr:from>
        <xdr:to>
          <xdr:col>10</xdr:col>
          <xdr:colOff>400050</xdr:colOff>
          <xdr:row>25</xdr:row>
          <xdr:rowOff>171450</xdr:rowOff>
        </xdr:to>
        <xdr:sp macro="" textlink="">
          <xdr:nvSpPr>
            <xdr:cNvPr id="2114" name="Check Box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2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26</xdr:row>
          <xdr:rowOff>38100</xdr:rowOff>
        </xdr:from>
        <xdr:to>
          <xdr:col>10</xdr:col>
          <xdr:colOff>400050</xdr:colOff>
          <xdr:row>26</xdr:row>
          <xdr:rowOff>171450</xdr:rowOff>
        </xdr:to>
        <xdr:sp macro="" textlink="">
          <xdr:nvSpPr>
            <xdr:cNvPr id="2115" name="Check Box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2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27</xdr:row>
          <xdr:rowOff>38100</xdr:rowOff>
        </xdr:from>
        <xdr:to>
          <xdr:col>10</xdr:col>
          <xdr:colOff>400050</xdr:colOff>
          <xdr:row>27</xdr:row>
          <xdr:rowOff>171450</xdr:rowOff>
        </xdr:to>
        <xdr:sp macro="" textlink="">
          <xdr:nvSpPr>
            <xdr:cNvPr id="2116" name="Check Box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2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28</xdr:row>
          <xdr:rowOff>38100</xdr:rowOff>
        </xdr:from>
        <xdr:to>
          <xdr:col>10</xdr:col>
          <xdr:colOff>400050</xdr:colOff>
          <xdr:row>28</xdr:row>
          <xdr:rowOff>171450</xdr:rowOff>
        </xdr:to>
        <xdr:sp macro="" textlink="">
          <xdr:nvSpPr>
            <xdr:cNvPr id="2117" name="Check Box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2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29</xdr:row>
          <xdr:rowOff>38100</xdr:rowOff>
        </xdr:from>
        <xdr:to>
          <xdr:col>10</xdr:col>
          <xdr:colOff>400050</xdr:colOff>
          <xdr:row>29</xdr:row>
          <xdr:rowOff>171450</xdr:rowOff>
        </xdr:to>
        <xdr:sp macro="" textlink="">
          <xdr:nvSpPr>
            <xdr:cNvPr id="2118" name="Check Box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2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76199</xdr:colOff>
      <xdr:row>2</xdr:row>
      <xdr:rowOff>28574</xdr:rowOff>
    </xdr:from>
    <xdr:to>
      <xdr:col>2</xdr:col>
      <xdr:colOff>655864</xdr:colOff>
      <xdr:row>4</xdr:row>
      <xdr:rowOff>19049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49" y="419099"/>
          <a:ext cx="2122715" cy="3714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8</xdr:row>
          <xdr:rowOff>0</xdr:rowOff>
        </xdr:from>
        <xdr:to>
          <xdr:col>7</xdr:col>
          <xdr:colOff>809625</xdr:colOff>
          <xdr:row>9</xdr:row>
          <xdr:rowOff>0</xdr:rowOff>
        </xdr:to>
        <xdr:sp macro="" textlink="">
          <xdr:nvSpPr>
            <xdr:cNvPr id="6160" name="Check Box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4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8</xdr:row>
          <xdr:rowOff>0</xdr:rowOff>
        </xdr:from>
        <xdr:to>
          <xdr:col>8</xdr:col>
          <xdr:colOff>790575</xdr:colOff>
          <xdr:row>9</xdr:row>
          <xdr:rowOff>0</xdr:rowOff>
        </xdr:to>
        <xdr:sp macro="" textlink="">
          <xdr:nvSpPr>
            <xdr:cNvPr id="6161" name="Check Box 17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4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8</xdr:row>
          <xdr:rowOff>0</xdr:rowOff>
        </xdr:from>
        <xdr:to>
          <xdr:col>9</xdr:col>
          <xdr:colOff>828675</xdr:colOff>
          <xdr:row>9</xdr:row>
          <xdr:rowOff>0</xdr:rowOff>
        </xdr:to>
        <xdr:sp macro="" textlink="">
          <xdr:nvSpPr>
            <xdr:cNvPr id="6162" name="Check Box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4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30</xdr:row>
          <xdr:rowOff>0</xdr:rowOff>
        </xdr:from>
        <xdr:to>
          <xdr:col>7</xdr:col>
          <xdr:colOff>809625</xdr:colOff>
          <xdr:row>31</xdr:row>
          <xdr:rowOff>0</xdr:rowOff>
        </xdr:to>
        <xdr:sp macro="" textlink="">
          <xdr:nvSpPr>
            <xdr:cNvPr id="6164" name="Check Box 20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4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30</xdr:row>
          <xdr:rowOff>0</xdr:rowOff>
        </xdr:from>
        <xdr:to>
          <xdr:col>8</xdr:col>
          <xdr:colOff>790575</xdr:colOff>
          <xdr:row>31</xdr:row>
          <xdr:rowOff>0</xdr:rowOff>
        </xdr:to>
        <xdr:sp macro="" textlink="">
          <xdr:nvSpPr>
            <xdr:cNvPr id="6165" name="Check Box 21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4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30</xdr:row>
          <xdr:rowOff>0</xdr:rowOff>
        </xdr:from>
        <xdr:to>
          <xdr:col>9</xdr:col>
          <xdr:colOff>828675</xdr:colOff>
          <xdr:row>31</xdr:row>
          <xdr:rowOff>0</xdr:rowOff>
        </xdr:to>
        <xdr:sp macro="" textlink="">
          <xdr:nvSpPr>
            <xdr:cNvPr id="6166" name="Check Box 22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4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31</xdr:row>
          <xdr:rowOff>0</xdr:rowOff>
        </xdr:from>
        <xdr:to>
          <xdr:col>7</xdr:col>
          <xdr:colOff>809625</xdr:colOff>
          <xdr:row>32</xdr:row>
          <xdr:rowOff>0</xdr:rowOff>
        </xdr:to>
        <xdr:sp macro="" textlink="">
          <xdr:nvSpPr>
            <xdr:cNvPr id="6168" name="Check Box 24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4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31</xdr:row>
          <xdr:rowOff>0</xdr:rowOff>
        </xdr:from>
        <xdr:to>
          <xdr:col>8</xdr:col>
          <xdr:colOff>790575</xdr:colOff>
          <xdr:row>32</xdr:row>
          <xdr:rowOff>0</xdr:rowOff>
        </xdr:to>
        <xdr:sp macro="" textlink="">
          <xdr:nvSpPr>
            <xdr:cNvPr id="6169" name="Check Box 25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4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31</xdr:row>
          <xdr:rowOff>0</xdr:rowOff>
        </xdr:from>
        <xdr:to>
          <xdr:col>9</xdr:col>
          <xdr:colOff>828675</xdr:colOff>
          <xdr:row>32</xdr:row>
          <xdr:rowOff>0</xdr:rowOff>
        </xdr:to>
        <xdr:sp macro="" textlink="">
          <xdr:nvSpPr>
            <xdr:cNvPr id="6170" name="Check Box 26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4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32</xdr:row>
          <xdr:rowOff>0</xdr:rowOff>
        </xdr:from>
        <xdr:to>
          <xdr:col>7</xdr:col>
          <xdr:colOff>809625</xdr:colOff>
          <xdr:row>33</xdr:row>
          <xdr:rowOff>0</xdr:rowOff>
        </xdr:to>
        <xdr:sp macro="" textlink="">
          <xdr:nvSpPr>
            <xdr:cNvPr id="6172" name="Check Box 28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4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32</xdr:row>
          <xdr:rowOff>0</xdr:rowOff>
        </xdr:from>
        <xdr:to>
          <xdr:col>8</xdr:col>
          <xdr:colOff>790575</xdr:colOff>
          <xdr:row>33</xdr:row>
          <xdr:rowOff>0</xdr:rowOff>
        </xdr:to>
        <xdr:sp macro="" textlink="">
          <xdr:nvSpPr>
            <xdr:cNvPr id="6173" name="Check Box 29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4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32</xdr:row>
          <xdr:rowOff>0</xdr:rowOff>
        </xdr:from>
        <xdr:to>
          <xdr:col>9</xdr:col>
          <xdr:colOff>828675</xdr:colOff>
          <xdr:row>33</xdr:row>
          <xdr:rowOff>0</xdr:rowOff>
        </xdr:to>
        <xdr:sp macro="" textlink="">
          <xdr:nvSpPr>
            <xdr:cNvPr id="6174" name="Check Box 30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4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9</xdr:row>
          <xdr:rowOff>0</xdr:rowOff>
        </xdr:from>
        <xdr:to>
          <xdr:col>7</xdr:col>
          <xdr:colOff>809625</xdr:colOff>
          <xdr:row>10</xdr:row>
          <xdr:rowOff>0</xdr:rowOff>
        </xdr:to>
        <xdr:sp macro="" textlink="">
          <xdr:nvSpPr>
            <xdr:cNvPr id="6176" name="Check Box 32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4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9</xdr:row>
          <xdr:rowOff>0</xdr:rowOff>
        </xdr:from>
        <xdr:to>
          <xdr:col>8</xdr:col>
          <xdr:colOff>790575</xdr:colOff>
          <xdr:row>10</xdr:row>
          <xdr:rowOff>0</xdr:rowOff>
        </xdr:to>
        <xdr:sp macro="" textlink="">
          <xdr:nvSpPr>
            <xdr:cNvPr id="6177" name="Check Box 33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4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9</xdr:row>
          <xdr:rowOff>0</xdr:rowOff>
        </xdr:from>
        <xdr:to>
          <xdr:col>9</xdr:col>
          <xdr:colOff>828675</xdr:colOff>
          <xdr:row>10</xdr:row>
          <xdr:rowOff>0</xdr:rowOff>
        </xdr:to>
        <xdr:sp macro="" textlink="">
          <xdr:nvSpPr>
            <xdr:cNvPr id="6178" name="Check Box 34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4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33</xdr:row>
          <xdr:rowOff>0</xdr:rowOff>
        </xdr:from>
        <xdr:to>
          <xdr:col>7</xdr:col>
          <xdr:colOff>809625</xdr:colOff>
          <xdr:row>34</xdr:row>
          <xdr:rowOff>0</xdr:rowOff>
        </xdr:to>
        <xdr:sp macro="" textlink="">
          <xdr:nvSpPr>
            <xdr:cNvPr id="6180" name="Check Box 36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4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33</xdr:row>
          <xdr:rowOff>0</xdr:rowOff>
        </xdr:from>
        <xdr:to>
          <xdr:col>8</xdr:col>
          <xdr:colOff>790575</xdr:colOff>
          <xdr:row>34</xdr:row>
          <xdr:rowOff>0</xdr:rowOff>
        </xdr:to>
        <xdr:sp macro="" textlink="">
          <xdr:nvSpPr>
            <xdr:cNvPr id="6181" name="Check Box 37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4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33</xdr:row>
          <xdr:rowOff>0</xdr:rowOff>
        </xdr:from>
        <xdr:to>
          <xdr:col>9</xdr:col>
          <xdr:colOff>828675</xdr:colOff>
          <xdr:row>34</xdr:row>
          <xdr:rowOff>0</xdr:rowOff>
        </xdr:to>
        <xdr:sp macro="" textlink="">
          <xdr:nvSpPr>
            <xdr:cNvPr id="6182" name="Check Box 38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4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36</xdr:row>
          <xdr:rowOff>0</xdr:rowOff>
        </xdr:from>
        <xdr:to>
          <xdr:col>7</xdr:col>
          <xdr:colOff>809625</xdr:colOff>
          <xdr:row>37</xdr:row>
          <xdr:rowOff>0</xdr:rowOff>
        </xdr:to>
        <xdr:sp macro="" textlink="">
          <xdr:nvSpPr>
            <xdr:cNvPr id="6184" name="Check Box 40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4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36</xdr:row>
          <xdr:rowOff>0</xdr:rowOff>
        </xdr:from>
        <xdr:to>
          <xdr:col>8</xdr:col>
          <xdr:colOff>790575</xdr:colOff>
          <xdr:row>37</xdr:row>
          <xdr:rowOff>0</xdr:rowOff>
        </xdr:to>
        <xdr:sp macro="" textlink="">
          <xdr:nvSpPr>
            <xdr:cNvPr id="6185" name="Check Box 41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4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36</xdr:row>
          <xdr:rowOff>0</xdr:rowOff>
        </xdr:from>
        <xdr:to>
          <xdr:col>9</xdr:col>
          <xdr:colOff>828675</xdr:colOff>
          <xdr:row>37</xdr:row>
          <xdr:rowOff>0</xdr:rowOff>
        </xdr:to>
        <xdr:sp macro="" textlink="">
          <xdr:nvSpPr>
            <xdr:cNvPr id="6186" name="Check Box 42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4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34</xdr:row>
          <xdr:rowOff>0</xdr:rowOff>
        </xdr:from>
        <xdr:to>
          <xdr:col>7</xdr:col>
          <xdr:colOff>809625</xdr:colOff>
          <xdr:row>35</xdr:row>
          <xdr:rowOff>0</xdr:rowOff>
        </xdr:to>
        <xdr:sp macro="" textlink="">
          <xdr:nvSpPr>
            <xdr:cNvPr id="6188" name="Check Box 44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4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34</xdr:row>
          <xdr:rowOff>0</xdr:rowOff>
        </xdr:from>
        <xdr:to>
          <xdr:col>8</xdr:col>
          <xdr:colOff>790575</xdr:colOff>
          <xdr:row>35</xdr:row>
          <xdr:rowOff>0</xdr:rowOff>
        </xdr:to>
        <xdr:sp macro="" textlink="">
          <xdr:nvSpPr>
            <xdr:cNvPr id="6189" name="Check Box 45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4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34</xdr:row>
          <xdr:rowOff>0</xdr:rowOff>
        </xdr:from>
        <xdr:to>
          <xdr:col>9</xdr:col>
          <xdr:colOff>828675</xdr:colOff>
          <xdr:row>35</xdr:row>
          <xdr:rowOff>0</xdr:rowOff>
        </xdr:to>
        <xdr:sp macro="" textlink="">
          <xdr:nvSpPr>
            <xdr:cNvPr id="6190" name="Check Box 46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4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35</xdr:row>
          <xdr:rowOff>0</xdr:rowOff>
        </xdr:from>
        <xdr:to>
          <xdr:col>7</xdr:col>
          <xdr:colOff>809625</xdr:colOff>
          <xdr:row>36</xdr:row>
          <xdr:rowOff>0</xdr:rowOff>
        </xdr:to>
        <xdr:sp macro="" textlink="">
          <xdr:nvSpPr>
            <xdr:cNvPr id="6192" name="Check Box 48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4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35</xdr:row>
          <xdr:rowOff>0</xdr:rowOff>
        </xdr:from>
        <xdr:to>
          <xdr:col>8</xdr:col>
          <xdr:colOff>790575</xdr:colOff>
          <xdr:row>36</xdr:row>
          <xdr:rowOff>0</xdr:rowOff>
        </xdr:to>
        <xdr:sp macro="" textlink="">
          <xdr:nvSpPr>
            <xdr:cNvPr id="6193" name="Check Box 49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4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35</xdr:row>
          <xdr:rowOff>0</xdr:rowOff>
        </xdr:from>
        <xdr:to>
          <xdr:col>9</xdr:col>
          <xdr:colOff>828675</xdr:colOff>
          <xdr:row>36</xdr:row>
          <xdr:rowOff>0</xdr:rowOff>
        </xdr:to>
        <xdr:sp macro="" textlink="">
          <xdr:nvSpPr>
            <xdr:cNvPr id="6194" name="Check Box 50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4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37</xdr:row>
          <xdr:rowOff>0</xdr:rowOff>
        </xdr:from>
        <xdr:to>
          <xdr:col>7</xdr:col>
          <xdr:colOff>809625</xdr:colOff>
          <xdr:row>38</xdr:row>
          <xdr:rowOff>0</xdr:rowOff>
        </xdr:to>
        <xdr:sp macro="" textlink="">
          <xdr:nvSpPr>
            <xdr:cNvPr id="6196" name="Check Box 52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4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37</xdr:row>
          <xdr:rowOff>0</xdr:rowOff>
        </xdr:from>
        <xdr:to>
          <xdr:col>8</xdr:col>
          <xdr:colOff>790575</xdr:colOff>
          <xdr:row>38</xdr:row>
          <xdr:rowOff>0</xdr:rowOff>
        </xdr:to>
        <xdr:sp macro="" textlink="">
          <xdr:nvSpPr>
            <xdr:cNvPr id="6197" name="Check Box 53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4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37</xdr:row>
          <xdr:rowOff>0</xdr:rowOff>
        </xdr:from>
        <xdr:to>
          <xdr:col>9</xdr:col>
          <xdr:colOff>828675</xdr:colOff>
          <xdr:row>38</xdr:row>
          <xdr:rowOff>0</xdr:rowOff>
        </xdr:to>
        <xdr:sp macro="" textlink="">
          <xdr:nvSpPr>
            <xdr:cNvPr id="6198" name="Check Box 54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4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38</xdr:row>
          <xdr:rowOff>0</xdr:rowOff>
        </xdr:from>
        <xdr:to>
          <xdr:col>7</xdr:col>
          <xdr:colOff>809625</xdr:colOff>
          <xdr:row>39</xdr:row>
          <xdr:rowOff>0</xdr:rowOff>
        </xdr:to>
        <xdr:sp macro="" textlink="">
          <xdr:nvSpPr>
            <xdr:cNvPr id="6200" name="Check Box 56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4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38</xdr:row>
          <xdr:rowOff>0</xdr:rowOff>
        </xdr:from>
        <xdr:to>
          <xdr:col>8</xdr:col>
          <xdr:colOff>790575</xdr:colOff>
          <xdr:row>39</xdr:row>
          <xdr:rowOff>0</xdr:rowOff>
        </xdr:to>
        <xdr:sp macro="" textlink="">
          <xdr:nvSpPr>
            <xdr:cNvPr id="6201" name="Check Box 57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4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38</xdr:row>
          <xdr:rowOff>0</xdr:rowOff>
        </xdr:from>
        <xdr:to>
          <xdr:col>9</xdr:col>
          <xdr:colOff>828675</xdr:colOff>
          <xdr:row>39</xdr:row>
          <xdr:rowOff>0</xdr:rowOff>
        </xdr:to>
        <xdr:sp macro="" textlink="">
          <xdr:nvSpPr>
            <xdr:cNvPr id="6202" name="Check Box 58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4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39</xdr:row>
          <xdr:rowOff>0</xdr:rowOff>
        </xdr:from>
        <xdr:to>
          <xdr:col>7</xdr:col>
          <xdr:colOff>809625</xdr:colOff>
          <xdr:row>40</xdr:row>
          <xdr:rowOff>0</xdr:rowOff>
        </xdr:to>
        <xdr:sp macro="" textlink="">
          <xdr:nvSpPr>
            <xdr:cNvPr id="6204" name="Check Box 60" hidden="1">
              <a:extLst>
                <a:ext uri="{63B3BB69-23CF-44E3-9099-C40C66FF867C}">
                  <a14:compatExt spid="_x0000_s6204"/>
                </a:ext>
                <a:ext uri="{FF2B5EF4-FFF2-40B4-BE49-F238E27FC236}">
                  <a16:creationId xmlns:a16="http://schemas.microsoft.com/office/drawing/2014/main" id="{00000000-0008-0000-0400-00003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39</xdr:row>
          <xdr:rowOff>0</xdr:rowOff>
        </xdr:from>
        <xdr:to>
          <xdr:col>8</xdr:col>
          <xdr:colOff>790575</xdr:colOff>
          <xdr:row>40</xdr:row>
          <xdr:rowOff>0</xdr:rowOff>
        </xdr:to>
        <xdr:sp macro="" textlink="">
          <xdr:nvSpPr>
            <xdr:cNvPr id="6205" name="Check Box 61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4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39</xdr:row>
          <xdr:rowOff>0</xdr:rowOff>
        </xdr:from>
        <xdr:to>
          <xdr:col>9</xdr:col>
          <xdr:colOff>828675</xdr:colOff>
          <xdr:row>40</xdr:row>
          <xdr:rowOff>0</xdr:rowOff>
        </xdr:to>
        <xdr:sp macro="" textlink="">
          <xdr:nvSpPr>
            <xdr:cNvPr id="6206" name="Check Box 62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4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10</xdr:row>
          <xdr:rowOff>0</xdr:rowOff>
        </xdr:from>
        <xdr:to>
          <xdr:col>7</xdr:col>
          <xdr:colOff>809625</xdr:colOff>
          <xdr:row>11</xdr:row>
          <xdr:rowOff>0</xdr:rowOff>
        </xdr:to>
        <xdr:sp macro="" textlink="">
          <xdr:nvSpPr>
            <xdr:cNvPr id="6208" name="Check Box 64" hidden="1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00000000-0008-0000-0400-00004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10</xdr:row>
          <xdr:rowOff>0</xdr:rowOff>
        </xdr:from>
        <xdr:to>
          <xdr:col>8</xdr:col>
          <xdr:colOff>790575</xdr:colOff>
          <xdr:row>11</xdr:row>
          <xdr:rowOff>0</xdr:rowOff>
        </xdr:to>
        <xdr:sp macro="" textlink="">
          <xdr:nvSpPr>
            <xdr:cNvPr id="6209" name="Check Box 65" hidden="1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00000000-0008-0000-0400-00004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10</xdr:row>
          <xdr:rowOff>0</xdr:rowOff>
        </xdr:from>
        <xdr:to>
          <xdr:col>9</xdr:col>
          <xdr:colOff>828675</xdr:colOff>
          <xdr:row>11</xdr:row>
          <xdr:rowOff>0</xdr:rowOff>
        </xdr:to>
        <xdr:sp macro="" textlink="">
          <xdr:nvSpPr>
            <xdr:cNvPr id="6210" name="Check Box 66" hidden="1">
              <a:extLst>
                <a:ext uri="{63B3BB69-23CF-44E3-9099-C40C66FF867C}">
                  <a14:compatExt spid="_x0000_s6210"/>
                </a:ext>
                <a:ext uri="{FF2B5EF4-FFF2-40B4-BE49-F238E27FC236}">
                  <a16:creationId xmlns:a16="http://schemas.microsoft.com/office/drawing/2014/main" id="{00000000-0008-0000-0400-00004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40</xdr:row>
          <xdr:rowOff>0</xdr:rowOff>
        </xdr:from>
        <xdr:to>
          <xdr:col>7</xdr:col>
          <xdr:colOff>809625</xdr:colOff>
          <xdr:row>41</xdr:row>
          <xdr:rowOff>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4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40</xdr:row>
          <xdr:rowOff>0</xdr:rowOff>
        </xdr:from>
        <xdr:to>
          <xdr:col>8</xdr:col>
          <xdr:colOff>790575</xdr:colOff>
          <xdr:row>41</xdr:row>
          <xdr:rowOff>0</xdr:rowOff>
        </xdr:to>
        <xdr:sp macro="" textlink="">
          <xdr:nvSpPr>
            <xdr:cNvPr id="6213" name="Check Box 69" hidden="1">
              <a:extLst>
                <a:ext uri="{63B3BB69-23CF-44E3-9099-C40C66FF867C}">
                  <a14:compatExt spid="_x0000_s6213"/>
                </a:ext>
                <a:ext uri="{FF2B5EF4-FFF2-40B4-BE49-F238E27FC236}">
                  <a16:creationId xmlns:a16="http://schemas.microsoft.com/office/drawing/2014/main" id="{00000000-0008-0000-0400-00004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40</xdr:row>
          <xdr:rowOff>0</xdr:rowOff>
        </xdr:from>
        <xdr:to>
          <xdr:col>9</xdr:col>
          <xdr:colOff>828675</xdr:colOff>
          <xdr:row>41</xdr:row>
          <xdr:rowOff>0</xdr:rowOff>
        </xdr:to>
        <xdr:sp macro="" textlink="">
          <xdr:nvSpPr>
            <xdr:cNvPr id="6214" name="Check Box 70" hidden="1">
              <a:extLst>
                <a:ext uri="{63B3BB69-23CF-44E3-9099-C40C66FF867C}">
                  <a14:compatExt spid="_x0000_s6214"/>
                </a:ext>
                <a:ext uri="{FF2B5EF4-FFF2-40B4-BE49-F238E27FC236}">
                  <a16:creationId xmlns:a16="http://schemas.microsoft.com/office/drawing/2014/main" id="{00000000-0008-0000-0400-00004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41</xdr:row>
          <xdr:rowOff>0</xdr:rowOff>
        </xdr:from>
        <xdr:to>
          <xdr:col>7</xdr:col>
          <xdr:colOff>809625</xdr:colOff>
          <xdr:row>42</xdr:row>
          <xdr:rowOff>0</xdr:rowOff>
        </xdr:to>
        <xdr:sp macro="" textlink="">
          <xdr:nvSpPr>
            <xdr:cNvPr id="6216" name="Check Box 72" hidden="1">
              <a:extLst>
                <a:ext uri="{63B3BB69-23CF-44E3-9099-C40C66FF867C}">
                  <a14:compatExt spid="_x0000_s6216"/>
                </a:ext>
                <a:ext uri="{FF2B5EF4-FFF2-40B4-BE49-F238E27FC236}">
                  <a16:creationId xmlns:a16="http://schemas.microsoft.com/office/drawing/2014/main" id="{00000000-0008-0000-0400-00004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41</xdr:row>
          <xdr:rowOff>0</xdr:rowOff>
        </xdr:from>
        <xdr:to>
          <xdr:col>8</xdr:col>
          <xdr:colOff>790575</xdr:colOff>
          <xdr:row>42</xdr:row>
          <xdr:rowOff>0</xdr:rowOff>
        </xdr:to>
        <xdr:sp macro="" textlink="">
          <xdr:nvSpPr>
            <xdr:cNvPr id="6217" name="Check Box 73" hidden="1">
              <a:extLst>
                <a:ext uri="{63B3BB69-23CF-44E3-9099-C40C66FF867C}">
                  <a14:compatExt spid="_x0000_s6217"/>
                </a:ext>
                <a:ext uri="{FF2B5EF4-FFF2-40B4-BE49-F238E27FC236}">
                  <a16:creationId xmlns:a16="http://schemas.microsoft.com/office/drawing/2014/main" id="{00000000-0008-0000-0400-00004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41</xdr:row>
          <xdr:rowOff>0</xdr:rowOff>
        </xdr:from>
        <xdr:to>
          <xdr:col>9</xdr:col>
          <xdr:colOff>828675</xdr:colOff>
          <xdr:row>42</xdr:row>
          <xdr:rowOff>0</xdr:rowOff>
        </xdr:to>
        <xdr:sp macro="" textlink="">
          <xdr:nvSpPr>
            <xdr:cNvPr id="6218" name="Check Box 74" hidden="1">
              <a:extLst>
                <a:ext uri="{63B3BB69-23CF-44E3-9099-C40C66FF867C}">
                  <a14:compatExt spid="_x0000_s6218"/>
                </a:ext>
                <a:ext uri="{FF2B5EF4-FFF2-40B4-BE49-F238E27FC236}">
                  <a16:creationId xmlns:a16="http://schemas.microsoft.com/office/drawing/2014/main" id="{00000000-0008-0000-0400-00004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42</xdr:row>
          <xdr:rowOff>0</xdr:rowOff>
        </xdr:from>
        <xdr:to>
          <xdr:col>7</xdr:col>
          <xdr:colOff>809625</xdr:colOff>
          <xdr:row>43</xdr:row>
          <xdr:rowOff>0</xdr:rowOff>
        </xdr:to>
        <xdr:sp macro="" textlink="">
          <xdr:nvSpPr>
            <xdr:cNvPr id="6220" name="Check Box 76" hidden="1">
              <a:extLst>
                <a:ext uri="{63B3BB69-23CF-44E3-9099-C40C66FF867C}">
                  <a14:compatExt spid="_x0000_s6220"/>
                </a:ext>
                <a:ext uri="{FF2B5EF4-FFF2-40B4-BE49-F238E27FC236}">
                  <a16:creationId xmlns:a16="http://schemas.microsoft.com/office/drawing/2014/main" id="{00000000-0008-0000-0400-00004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42</xdr:row>
          <xdr:rowOff>0</xdr:rowOff>
        </xdr:from>
        <xdr:to>
          <xdr:col>8</xdr:col>
          <xdr:colOff>790575</xdr:colOff>
          <xdr:row>43</xdr:row>
          <xdr:rowOff>0</xdr:rowOff>
        </xdr:to>
        <xdr:sp macro="" textlink="">
          <xdr:nvSpPr>
            <xdr:cNvPr id="6221" name="Check Box 77" hidden="1">
              <a:extLst>
                <a:ext uri="{63B3BB69-23CF-44E3-9099-C40C66FF867C}">
                  <a14:compatExt spid="_x0000_s6221"/>
                </a:ext>
                <a:ext uri="{FF2B5EF4-FFF2-40B4-BE49-F238E27FC236}">
                  <a16:creationId xmlns:a16="http://schemas.microsoft.com/office/drawing/2014/main" id="{00000000-0008-0000-0400-00004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42</xdr:row>
          <xdr:rowOff>0</xdr:rowOff>
        </xdr:from>
        <xdr:to>
          <xdr:col>9</xdr:col>
          <xdr:colOff>828675</xdr:colOff>
          <xdr:row>43</xdr:row>
          <xdr:rowOff>0</xdr:rowOff>
        </xdr:to>
        <xdr:sp macro="" textlink="">
          <xdr:nvSpPr>
            <xdr:cNvPr id="6222" name="Check Box 78" hidden="1">
              <a:extLst>
                <a:ext uri="{63B3BB69-23CF-44E3-9099-C40C66FF867C}">
                  <a14:compatExt spid="_x0000_s6222"/>
                </a:ext>
                <a:ext uri="{FF2B5EF4-FFF2-40B4-BE49-F238E27FC236}">
                  <a16:creationId xmlns:a16="http://schemas.microsoft.com/office/drawing/2014/main" id="{00000000-0008-0000-0400-00004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11</xdr:row>
          <xdr:rowOff>0</xdr:rowOff>
        </xdr:from>
        <xdr:to>
          <xdr:col>7</xdr:col>
          <xdr:colOff>809625</xdr:colOff>
          <xdr:row>12</xdr:row>
          <xdr:rowOff>0</xdr:rowOff>
        </xdr:to>
        <xdr:sp macro="" textlink="">
          <xdr:nvSpPr>
            <xdr:cNvPr id="6224" name="Check Box 80" hidden="1">
              <a:extLst>
                <a:ext uri="{63B3BB69-23CF-44E3-9099-C40C66FF867C}">
                  <a14:compatExt spid="_x0000_s6224"/>
                </a:ext>
                <a:ext uri="{FF2B5EF4-FFF2-40B4-BE49-F238E27FC236}">
                  <a16:creationId xmlns:a16="http://schemas.microsoft.com/office/drawing/2014/main" id="{00000000-0008-0000-0400-00005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11</xdr:row>
          <xdr:rowOff>0</xdr:rowOff>
        </xdr:from>
        <xdr:to>
          <xdr:col>8</xdr:col>
          <xdr:colOff>790575</xdr:colOff>
          <xdr:row>12</xdr:row>
          <xdr:rowOff>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4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11</xdr:row>
          <xdr:rowOff>0</xdr:rowOff>
        </xdr:from>
        <xdr:to>
          <xdr:col>9</xdr:col>
          <xdr:colOff>828675</xdr:colOff>
          <xdr:row>12</xdr:row>
          <xdr:rowOff>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4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12</xdr:row>
          <xdr:rowOff>0</xdr:rowOff>
        </xdr:from>
        <xdr:to>
          <xdr:col>7</xdr:col>
          <xdr:colOff>809625</xdr:colOff>
          <xdr:row>13</xdr:row>
          <xdr:rowOff>0</xdr:rowOff>
        </xdr:to>
        <xdr:sp macro="" textlink="">
          <xdr:nvSpPr>
            <xdr:cNvPr id="6228" name="Check Box 84" hidden="1">
              <a:extLst>
                <a:ext uri="{63B3BB69-23CF-44E3-9099-C40C66FF867C}">
                  <a14:compatExt spid="_x0000_s6228"/>
                </a:ext>
                <a:ext uri="{FF2B5EF4-FFF2-40B4-BE49-F238E27FC236}">
                  <a16:creationId xmlns:a16="http://schemas.microsoft.com/office/drawing/2014/main" id="{00000000-0008-0000-0400-00005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12</xdr:row>
          <xdr:rowOff>0</xdr:rowOff>
        </xdr:from>
        <xdr:to>
          <xdr:col>8</xdr:col>
          <xdr:colOff>790575</xdr:colOff>
          <xdr:row>13</xdr:row>
          <xdr:rowOff>0</xdr:rowOff>
        </xdr:to>
        <xdr:sp macro="" textlink="">
          <xdr:nvSpPr>
            <xdr:cNvPr id="6229" name="Check Box 85" hidden="1">
              <a:extLst>
                <a:ext uri="{63B3BB69-23CF-44E3-9099-C40C66FF867C}">
                  <a14:compatExt spid="_x0000_s6229"/>
                </a:ext>
                <a:ext uri="{FF2B5EF4-FFF2-40B4-BE49-F238E27FC236}">
                  <a16:creationId xmlns:a16="http://schemas.microsoft.com/office/drawing/2014/main" id="{00000000-0008-0000-0400-00005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12</xdr:row>
          <xdr:rowOff>0</xdr:rowOff>
        </xdr:from>
        <xdr:to>
          <xdr:col>9</xdr:col>
          <xdr:colOff>828675</xdr:colOff>
          <xdr:row>13</xdr:row>
          <xdr:rowOff>0</xdr:rowOff>
        </xdr:to>
        <xdr:sp macro="" textlink="">
          <xdr:nvSpPr>
            <xdr:cNvPr id="6230" name="Check Box 86" hidden="1">
              <a:extLst>
                <a:ext uri="{63B3BB69-23CF-44E3-9099-C40C66FF867C}">
                  <a14:compatExt spid="_x0000_s6230"/>
                </a:ext>
                <a:ext uri="{FF2B5EF4-FFF2-40B4-BE49-F238E27FC236}">
                  <a16:creationId xmlns:a16="http://schemas.microsoft.com/office/drawing/2014/main" id="{00000000-0008-0000-0400-00005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63</xdr:row>
          <xdr:rowOff>0</xdr:rowOff>
        </xdr:from>
        <xdr:to>
          <xdr:col>7</xdr:col>
          <xdr:colOff>809625</xdr:colOff>
          <xdr:row>64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4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63</xdr:row>
          <xdr:rowOff>0</xdr:rowOff>
        </xdr:from>
        <xdr:to>
          <xdr:col>8</xdr:col>
          <xdr:colOff>790575</xdr:colOff>
          <xdr:row>64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4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63</xdr:row>
          <xdr:rowOff>0</xdr:rowOff>
        </xdr:from>
        <xdr:to>
          <xdr:col>9</xdr:col>
          <xdr:colOff>828675</xdr:colOff>
          <xdr:row>64</xdr:row>
          <xdr:rowOff>0</xdr:rowOff>
        </xdr:to>
        <xdr:sp macro="" textlink="">
          <xdr:nvSpPr>
            <xdr:cNvPr id="6234" name="Check Box 90" hidden="1">
              <a:extLst>
                <a:ext uri="{63B3BB69-23CF-44E3-9099-C40C66FF867C}">
                  <a14:compatExt spid="_x0000_s6234"/>
                </a:ext>
                <a:ext uri="{FF2B5EF4-FFF2-40B4-BE49-F238E27FC236}">
                  <a16:creationId xmlns:a16="http://schemas.microsoft.com/office/drawing/2014/main" id="{00000000-0008-0000-0400-00005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64</xdr:row>
          <xdr:rowOff>0</xdr:rowOff>
        </xdr:from>
        <xdr:to>
          <xdr:col>7</xdr:col>
          <xdr:colOff>809625</xdr:colOff>
          <xdr:row>65</xdr:row>
          <xdr:rowOff>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4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64</xdr:row>
          <xdr:rowOff>0</xdr:rowOff>
        </xdr:from>
        <xdr:to>
          <xdr:col>8</xdr:col>
          <xdr:colOff>790575</xdr:colOff>
          <xdr:row>65</xdr:row>
          <xdr:rowOff>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4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64</xdr:row>
          <xdr:rowOff>0</xdr:rowOff>
        </xdr:from>
        <xdr:to>
          <xdr:col>9</xdr:col>
          <xdr:colOff>828675</xdr:colOff>
          <xdr:row>65</xdr:row>
          <xdr:rowOff>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4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43</xdr:row>
          <xdr:rowOff>0</xdr:rowOff>
        </xdr:from>
        <xdr:to>
          <xdr:col>7</xdr:col>
          <xdr:colOff>809625</xdr:colOff>
          <xdr:row>44</xdr:row>
          <xdr:rowOff>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4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43</xdr:row>
          <xdr:rowOff>0</xdr:rowOff>
        </xdr:from>
        <xdr:to>
          <xdr:col>8</xdr:col>
          <xdr:colOff>790575</xdr:colOff>
          <xdr:row>44</xdr:row>
          <xdr:rowOff>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4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43</xdr:row>
          <xdr:rowOff>0</xdr:rowOff>
        </xdr:from>
        <xdr:to>
          <xdr:col>9</xdr:col>
          <xdr:colOff>828675</xdr:colOff>
          <xdr:row>44</xdr:row>
          <xdr:rowOff>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4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44</xdr:row>
          <xdr:rowOff>0</xdr:rowOff>
        </xdr:from>
        <xdr:to>
          <xdr:col>7</xdr:col>
          <xdr:colOff>809625</xdr:colOff>
          <xdr:row>45</xdr:row>
          <xdr:rowOff>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4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44</xdr:row>
          <xdr:rowOff>0</xdr:rowOff>
        </xdr:from>
        <xdr:to>
          <xdr:col>8</xdr:col>
          <xdr:colOff>790575</xdr:colOff>
          <xdr:row>45</xdr:row>
          <xdr:rowOff>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4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44</xdr:row>
          <xdr:rowOff>0</xdr:rowOff>
        </xdr:from>
        <xdr:to>
          <xdr:col>9</xdr:col>
          <xdr:colOff>828675</xdr:colOff>
          <xdr:row>45</xdr:row>
          <xdr:rowOff>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4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46</xdr:row>
          <xdr:rowOff>0</xdr:rowOff>
        </xdr:from>
        <xdr:to>
          <xdr:col>7</xdr:col>
          <xdr:colOff>809625</xdr:colOff>
          <xdr:row>47</xdr:row>
          <xdr:rowOff>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4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46</xdr:row>
          <xdr:rowOff>0</xdr:rowOff>
        </xdr:from>
        <xdr:to>
          <xdr:col>8</xdr:col>
          <xdr:colOff>790575</xdr:colOff>
          <xdr:row>47</xdr:row>
          <xdr:rowOff>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4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46</xdr:row>
          <xdr:rowOff>0</xdr:rowOff>
        </xdr:from>
        <xdr:to>
          <xdr:col>9</xdr:col>
          <xdr:colOff>828675</xdr:colOff>
          <xdr:row>47</xdr:row>
          <xdr:rowOff>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4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47</xdr:row>
          <xdr:rowOff>0</xdr:rowOff>
        </xdr:from>
        <xdr:to>
          <xdr:col>7</xdr:col>
          <xdr:colOff>809625</xdr:colOff>
          <xdr:row>48</xdr:row>
          <xdr:rowOff>0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4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47</xdr:row>
          <xdr:rowOff>0</xdr:rowOff>
        </xdr:from>
        <xdr:to>
          <xdr:col>8</xdr:col>
          <xdr:colOff>790575</xdr:colOff>
          <xdr:row>48</xdr:row>
          <xdr:rowOff>0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4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47</xdr:row>
          <xdr:rowOff>0</xdr:rowOff>
        </xdr:from>
        <xdr:to>
          <xdr:col>9</xdr:col>
          <xdr:colOff>828675</xdr:colOff>
          <xdr:row>48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4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65</xdr:row>
          <xdr:rowOff>0</xdr:rowOff>
        </xdr:from>
        <xdr:to>
          <xdr:col>7</xdr:col>
          <xdr:colOff>809625</xdr:colOff>
          <xdr:row>66</xdr:row>
          <xdr:rowOff>0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4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65</xdr:row>
          <xdr:rowOff>0</xdr:rowOff>
        </xdr:from>
        <xdr:to>
          <xdr:col>8</xdr:col>
          <xdr:colOff>790575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4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65</xdr:row>
          <xdr:rowOff>0</xdr:rowOff>
        </xdr:from>
        <xdr:to>
          <xdr:col>9</xdr:col>
          <xdr:colOff>828675</xdr:colOff>
          <xdr:row>66</xdr:row>
          <xdr:rowOff>0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4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48</xdr:row>
          <xdr:rowOff>0</xdr:rowOff>
        </xdr:from>
        <xdr:to>
          <xdr:col>7</xdr:col>
          <xdr:colOff>809625</xdr:colOff>
          <xdr:row>49</xdr:row>
          <xdr:rowOff>0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4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48</xdr:row>
          <xdr:rowOff>0</xdr:rowOff>
        </xdr:from>
        <xdr:to>
          <xdr:col>8</xdr:col>
          <xdr:colOff>790575</xdr:colOff>
          <xdr:row>49</xdr:row>
          <xdr:rowOff>0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4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48</xdr:row>
          <xdr:rowOff>0</xdr:rowOff>
        </xdr:from>
        <xdr:to>
          <xdr:col>9</xdr:col>
          <xdr:colOff>828675</xdr:colOff>
          <xdr:row>49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4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66</xdr:row>
          <xdr:rowOff>0</xdr:rowOff>
        </xdr:from>
        <xdr:to>
          <xdr:col>7</xdr:col>
          <xdr:colOff>809625</xdr:colOff>
          <xdr:row>67</xdr:row>
          <xdr:rowOff>0</xdr:rowOff>
        </xdr:to>
        <xdr:sp macro="" textlink="">
          <xdr:nvSpPr>
            <xdr:cNvPr id="6264" name="Check Box 120" hidden="1">
              <a:extLst>
                <a:ext uri="{63B3BB69-23CF-44E3-9099-C40C66FF867C}">
                  <a14:compatExt spid="_x0000_s6264"/>
                </a:ext>
                <a:ext uri="{FF2B5EF4-FFF2-40B4-BE49-F238E27FC236}">
                  <a16:creationId xmlns:a16="http://schemas.microsoft.com/office/drawing/2014/main" id="{00000000-0008-0000-0400-00007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66</xdr:row>
          <xdr:rowOff>0</xdr:rowOff>
        </xdr:from>
        <xdr:to>
          <xdr:col>8</xdr:col>
          <xdr:colOff>790575</xdr:colOff>
          <xdr:row>67</xdr:row>
          <xdr:rowOff>0</xdr:rowOff>
        </xdr:to>
        <xdr:sp macro="" textlink="">
          <xdr:nvSpPr>
            <xdr:cNvPr id="6265" name="Check Box 121" hidden="1">
              <a:extLst>
                <a:ext uri="{63B3BB69-23CF-44E3-9099-C40C66FF867C}">
                  <a14:compatExt spid="_x0000_s6265"/>
                </a:ext>
                <a:ext uri="{FF2B5EF4-FFF2-40B4-BE49-F238E27FC236}">
                  <a16:creationId xmlns:a16="http://schemas.microsoft.com/office/drawing/2014/main" id="{00000000-0008-0000-0400-00007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66</xdr:row>
          <xdr:rowOff>0</xdr:rowOff>
        </xdr:from>
        <xdr:to>
          <xdr:col>9</xdr:col>
          <xdr:colOff>828675</xdr:colOff>
          <xdr:row>67</xdr:row>
          <xdr:rowOff>0</xdr:rowOff>
        </xdr:to>
        <xdr:sp macro="" textlink="">
          <xdr:nvSpPr>
            <xdr:cNvPr id="6266" name="Check Box 122" hidden="1">
              <a:extLst>
                <a:ext uri="{63B3BB69-23CF-44E3-9099-C40C66FF867C}">
                  <a14:compatExt spid="_x0000_s6266"/>
                </a:ext>
                <a:ext uri="{FF2B5EF4-FFF2-40B4-BE49-F238E27FC236}">
                  <a16:creationId xmlns:a16="http://schemas.microsoft.com/office/drawing/2014/main" id="{00000000-0008-0000-0400-00007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13</xdr:row>
          <xdr:rowOff>0</xdr:rowOff>
        </xdr:from>
        <xdr:to>
          <xdr:col>7</xdr:col>
          <xdr:colOff>809625</xdr:colOff>
          <xdr:row>14</xdr:row>
          <xdr:rowOff>0</xdr:rowOff>
        </xdr:to>
        <xdr:sp macro="" textlink="">
          <xdr:nvSpPr>
            <xdr:cNvPr id="6268" name="Check Box 124" hidden="1">
              <a:extLst>
                <a:ext uri="{63B3BB69-23CF-44E3-9099-C40C66FF867C}">
                  <a14:compatExt spid="_x0000_s6268"/>
                </a:ext>
                <a:ext uri="{FF2B5EF4-FFF2-40B4-BE49-F238E27FC236}">
                  <a16:creationId xmlns:a16="http://schemas.microsoft.com/office/drawing/2014/main" id="{00000000-0008-0000-0400-00007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13</xdr:row>
          <xdr:rowOff>0</xdr:rowOff>
        </xdr:from>
        <xdr:to>
          <xdr:col>8</xdr:col>
          <xdr:colOff>790575</xdr:colOff>
          <xdr:row>14</xdr:row>
          <xdr:rowOff>0</xdr:rowOff>
        </xdr:to>
        <xdr:sp macro="" textlink="">
          <xdr:nvSpPr>
            <xdr:cNvPr id="6269" name="Check Box 125" hidden="1">
              <a:extLst>
                <a:ext uri="{63B3BB69-23CF-44E3-9099-C40C66FF867C}">
                  <a14:compatExt spid="_x0000_s6269"/>
                </a:ext>
                <a:ext uri="{FF2B5EF4-FFF2-40B4-BE49-F238E27FC236}">
                  <a16:creationId xmlns:a16="http://schemas.microsoft.com/office/drawing/2014/main" id="{00000000-0008-0000-0400-00007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13</xdr:row>
          <xdr:rowOff>0</xdr:rowOff>
        </xdr:from>
        <xdr:to>
          <xdr:col>9</xdr:col>
          <xdr:colOff>828675</xdr:colOff>
          <xdr:row>14</xdr:row>
          <xdr:rowOff>0</xdr:rowOff>
        </xdr:to>
        <xdr:sp macro="" textlink="">
          <xdr:nvSpPr>
            <xdr:cNvPr id="6270" name="Check Box 126" hidden="1">
              <a:extLst>
                <a:ext uri="{63B3BB69-23CF-44E3-9099-C40C66FF867C}">
                  <a14:compatExt spid="_x0000_s6270"/>
                </a:ext>
                <a:ext uri="{FF2B5EF4-FFF2-40B4-BE49-F238E27FC236}">
                  <a16:creationId xmlns:a16="http://schemas.microsoft.com/office/drawing/2014/main" id="{00000000-0008-0000-0400-00007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14</xdr:row>
          <xdr:rowOff>0</xdr:rowOff>
        </xdr:from>
        <xdr:to>
          <xdr:col>7</xdr:col>
          <xdr:colOff>809625</xdr:colOff>
          <xdr:row>15</xdr:row>
          <xdr:rowOff>0</xdr:rowOff>
        </xdr:to>
        <xdr:sp macro="" textlink="">
          <xdr:nvSpPr>
            <xdr:cNvPr id="6272" name="Check Box 128" hidden="1">
              <a:extLst>
                <a:ext uri="{63B3BB69-23CF-44E3-9099-C40C66FF867C}">
                  <a14:compatExt spid="_x0000_s6272"/>
                </a:ext>
                <a:ext uri="{FF2B5EF4-FFF2-40B4-BE49-F238E27FC236}">
                  <a16:creationId xmlns:a16="http://schemas.microsoft.com/office/drawing/2014/main" id="{00000000-0008-0000-0400-00008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14</xdr:row>
          <xdr:rowOff>0</xdr:rowOff>
        </xdr:from>
        <xdr:to>
          <xdr:col>8</xdr:col>
          <xdr:colOff>790575</xdr:colOff>
          <xdr:row>15</xdr:row>
          <xdr:rowOff>0</xdr:rowOff>
        </xdr:to>
        <xdr:sp macro="" textlink="">
          <xdr:nvSpPr>
            <xdr:cNvPr id="6273" name="Check Box 129" hidden="1">
              <a:extLst>
                <a:ext uri="{63B3BB69-23CF-44E3-9099-C40C66FF867C}">
                  <a14:compatExt spid="_x0000_s6273"/>
                </a:ext>
                <a:ext uri="{FF2B5EF4-FFF2-40B4-BE49-F238E27FC236}">
                  <a16:creationId xmlns:a16="http://schemas.microsoft.com/office/drawing/2014/main" id="{00000000-0008-0000-0400-00008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14</xdr:row>
          <xdr:rowOff>0</xdr:rowOff>
        </xdr:from>
        <xdr:to>
          <xdr:col>9</xdr:col>
          <xdr:colOff>828675</xdr:colOff>
          <xdr:row>15</xdr:row>
          <xdr:rowOff>0</xdr:rowOff>
        </xdr:to>
        <xdr:sp macro="" textlink="">
          <xdr:nvSpPr>
            <xdr:cNvPr id="6274" name="Check Box 130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4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</xdr:row>
          <xdr:rowOff>0</xdr:rowOff>
        </xdr:from>
        <xdr:to>
          <xdr:col>7</xdr:col>
          <xdr:colOff>809625</xdr:colOff>
          <xdr:row>16</xdr:row>
          <xdr:rowOff>0</xdr:rowOff>
        </xdr:to>
        <xdr:sp macro="" textlink="">
          <xdr:nvSpPr>
            <xdr:cNvPr id="6276" name="Check Box 132" hidden="1">
              <a:extLst>
                <a:ext uri="{63B3BB69-23CF-44E3-9099-C40C66FF867C}">
                  <a14:compatExt spid="_x0000_s6276"/>
                </a:ext>
                <a:ext uri="{FF2B5EF4-FFF2-40B4-BE49-F238E27FC236}">
                  <a16:creationId xmlns:a16="http://schemas.microsoft.com/office/drawing/2014/main" id="{00000000-0008-0000-0400-00008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</xdr:row>
          <xdr:rowOff>0</xdr:rowOff>
        </xdr:from>
        <xdr:to>
          <xdr:col>8</xdr:col>
          <xdr:colOff>790575</xdr:colOff>
          <xdr:row>16</xdr:row>
          <xdr:rowOff>0</xdr:rowOff>
        </xdr:to>
        <xdr:sp macro="" textlink="">
          <xdr:nvSpPr>
            <xdr:cNvPr id="6277" name="Check Box 133" hidden="1">
              <a:extLst>
                <a:ext uri="{63B3BB69-23CF-44E3-9099-C40C66FF867C}">
                  <a14:compatExt spid="_x0000_s6277"/>
                </a:ext>
                <a:ext uri="{FF2B5EF4-FFF2-40B4-BE49-F238E27FC236}">
                  <a16:creationId xmlns:a16="http://schemas.microsoft.com/office/drawing/2014/main" id="{00000000-0008-0000-0400-00008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</xdr:row>
          <xdr:rowOff>0</xdr:rowOff>
        </xdr:from>
        <xdr:to>
          <xdr:col>9</xdr:col>
          <xdr:colOff>828675</xdr:colOff>
          <xdr:row>16</xdr:row>
          <xdr:rowOff>0</xdr:rowOff>
        </xdr:to>
        <xdr:sp macro="" textlink="">
          <xdr:nvSpPr>
            <xdr:cNvPr id="6278" name="Check Box 134" hidden="1">
              <a:extLst>
                <a:ext uri="{63B3BB69-23CF-44E3-9099-C40C66FF867C}">
                  <a14:compatExt spid="_x0000_s6278"/>
                </a:ext>
                <a:ext uri="{FF2B5EF4-FFF2-40B4-BE49-F238E27FC236}">
                  <a16:creationId xmlns:a16="http://schemas.microsoft.com/office/drawing/2014/main" id="{00000000-0008-0000-0400-00008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67</xdr:row>
          <xdr:rowOff>0</xdr:rowOff>
        </xdr:from>
        <xdr:to>
          <xdr:col>7</xdr:col>
          <xdr:colOff>809625</xdr:colOff>
          <xdr:row>68</xdr:row>
          <xdr:rowOff>0</xdr:rowOff>
        </xdr:to>
        <xdr:sp macro="" textlink="">
          <xdr:nvSpPr>
            <xdr:cNvPr id="6280" name="Check Box 136" hidden="1">
              <a:extLst>
                <a:ext uri="{63B3BB69-23CF-44E3-9099-C40C66FF867C}">
                  <a14:compatExt spid="_x0000_s6280"/>
                </a:ext>
                <a:ext uri="{FF2B5EF4-FFF2-40B4-BE49-F238E27FC236}">
                  <a16:creationId xmlns:a16="http://schemas.microsoft.com/office/drawing/2014/main" id="{00000000-0008-0000-0400-00008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67</xdr:row>
          <xdr:rowOff>0</xdr:rowOff>
        </xdr:from>
        <xdr:to>
          <xdr:col>8</xdr:col>
          <xdr:colOff>790575</xdr:colOff>
          <xdr:row>68</xdr:row>
          <xdr:rowOff>0</xdr:rowOff>
        </xdr:to>
        <xdr:sp macro="" textlink="">
          <xdr:nvSpPr>
            <xdr:cNvPr id="6281" name="Check Box 137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4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67</xdr:row>
          <xdr:rowOff>0</xdr:rowOff>
        </xdr:from>
        <xdr:to>
          <xdr:col>9</xdr:col>
          <xdr:colOff>828675</xdr:colOff>
          <xdr:row>68</xdr:row>
          <xdr:rowOff>0</xdr:rowOff>
        </xdr:to>
        <xdr:sp macro="" textlink="">
          <xdr:nvSpPr>
            <xdr:cNvPr id="6282" name="Check Box 138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4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49</xdr:row>
          <xdr:rowOff>0</xdr:rowOff>
        </xdr:from>
        <xdr:to>
          <xdr:col>7</xdr:col>
          <xdr:colOff>809625</xdr:colOff>
          <xdr:row>50</xdr:row>
          <xdr:rowOff>0</xdr:rowOff>
        </xdr:to>
        <xdr:sp macro="" textlink="">
          <xdr:nvSpPr>
            <xdr:cNvPr id="6284" name="Check Box 140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4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49</xdr:row>
          <xdr:rowOff>0</xdr:rowOff>
        </xdr:from>
        <xdr:to>
          <xdr:col>8</xdr:col>
          <xdr:colOff>790575</xdr:colOff>
          <xdr:row>50</xdr:row>
          <xdr:rowOff>0</xdr:rowOff>
        </xdr:to>
        <xdr:sp macro="" textlink="">
          <xdr:nvSpPr>
            <xdr:cNvPr id="6285" name="Check Box 141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4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49</xdr:row>
          <xdr:rowOff>0</xdr:rowOff>
        </xdr:from>
        <xdr:to>
          <xdr:col>9</xdr:col>
          <xdr:colOff>828675</xdr:colOff>
          <xdr:row>50</xdr:row>
          <xdr:rowOff>0</xdr:rowOff>
        </xdr:to>
        <xdr:sp macro="" textlink="">
          <xdr:nvSpPr>
            <xdr:cNvPr id="6286" name="Check Box 142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4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68</xdr:row>
          <xdr:rowOff>0</xdr:rowOff>
        </xdr:from>
        <xdr:to>
          <xdr:col>7</xdr:col>
          <xdr:colOff>809625</xdr:colOff>
          <xdr:row>69</xdr:row>
          <xdr:rowOff>0</xdr:rowOff>
        </xdr:to>
        <xdr:sp macro="" textlink="">
          <xdr:nvSpPr>
            <xdr:cNvPr id="6288" name="Check Box 144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4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68</xdr:row>
          <xdr:rowOff>0</xdr:rowOff>
        </xdr:from>
        <xdr:to>
          <xdr:col>8</xdr:col>
          <xdr:colOff>790575</xdr:colOff>
          <xdr:row>69</xdr:row>
          <xdr:rowOff>0</xdr:rowOff>
        </xdr:to>
        <xdr:sp macro="" textlink="">
          <xdr:nvSpPr>
            <xdr:cNvPr id="6289" name="Check Box 145" hidden="1">
              <a:extLst>
                <a:ext uri="{63B3BB69-23CF-44E3-9099-C40C66FF867C}">
                  <a14:compatExt spid="_x0000_s6289"/>
                </a:ext>
                <a:ext uri="{FF2B5EF4-FFF2-40B4-BE49-F238E27FC236}">
                  <a16:creationId xmlns:a16="http://schemas.microsoft.com/office/drawing/2014/main" id="{00000000-0008-0000-0400-00009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68</xdr:row>
          <xdr:rowOff>0</xdr:rowOff>
        </xdr:from>
        <xdr:to>
          <xdr:col>9</xdr:col>
          <xdr:colOff>828675</xdr:colOff>
          <xdr:row>69</xdr:row>
          <xdr:rowOff>0</xdr:rowOff>
        </xdr:to>
        <xdr:sp macro="" textlink="">
          <xdr:nvSpPr>
            <xdr:cNvPr id="6290" name="Check Box 146" hidden="1">
              <a:extLst>
                <a:ext uri="{63B3BB69-23CF-44E3-9099-C40C66FF867C}">
                  <a14:compatExt spid="_x0000_s6290"/>
                </a:ext>
                <a:ext uri="{FF2B5EF4-FFF2-40B4-BE49-F238E27FC236}">
                  <a16:creationId xmlns:a16="http://schemas.microsoft.com/office/drawing/2014/main" id="{00000000-0008-0000-0400-00009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69</xdr:row>
          <xdr:rowOff>0</xdr:rowOff>
        </xdr:from>
        <xdr:to>
          <xdr:col>7</xdr:col>
          <xdr:colOff>809625</xdr:colOff>
          <xdr:row>70</xdr:row>
          <xdr:rowOff>0</xdr:rowOff>
        </xdr:to>
        <xdr:sp macro="" textlink="">
          <xdr:nvSpPr>
            <xdr:cNvPr id="6292" name="Check Box 148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4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69</xdr:row>
          <xdr:rowOff>0</xdr:rowOff>
        </xdr:from>
        <xdr:to>
          <xdr:col>8</xdr:col>
          <xdr:colOff>790575</xdr:colOff>
          <xdr:row>70</xdr:row>
          <xdr:rowOff>0</xdr:rowOff>
        </xdr:to>
        <xdr:sp macro="" textlink="">
          <xdr:nvSpPr>
            <xdr:cNvPr id="6293" name="Check Box 149" hidden="1">
              <a:extLst>
                <a:ext uri="{63B3BB69-23CF-44E3-9099-C40C66FF867C}">
                  <a14:compatExt spid="_x0000_s6293"/>
                </a:ext>
                <a:ext uri="{FF2B5EF4-FFF2-40B4-BE49-F238E27FC236}">
                  <a16:creationId xmlns:a16="http://schemas.microsoft.com/office/drawing/2014/main" id="{00000000-0008-0000-0400-00009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69</xdr:row>
          <xdr:rowOff>0</xdr:rowOff>
        </xdr:from>
        <xdr:to>
          <xdr:col>9</xdr:col>
          <xdr:colOff>828675</xdr:colOff>
          <xdr:row>70</xdr:row>
          <xdr:rowOff>0</xdr:rowOff>
        </xdr:to>
        <xdr:sp macro="" textlink="">
          <xdr:nvSpPr>
            <xdr:cNvPr id="6294" name="Check Box 150" hidden="1">
              <a:extLst>
                <a:ext uri="{63B3BB69-23CF-44E3-9099-C40C66FF867C}">
                  <a14:compatExt spid="_x0000_s6294"/>
                </a:ext>
                <a:ext uri="{FF2B5EF4-FFF2-40B4-BE49-F238E27FC236}">
                  <a16:creationId xmlns:a16="http://schemas.microsoft.com/office/drawing/2014/main" id="{00000000-0008-0000-0400-00009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70</xdr:row>
          <xdr:rowOff>0</xdr:rowOff>
        </xdr:from>
        <xdr:to>
          <xdr:col>7</xdr:col>
          <xdr:colOff>809625</xdr:colOff>
          <xdr:row>71</xdr:row>
          <xdr:rowOff>0</xdr:rowOff>
        </xdr:to>
        <xdr:sp macro="" textlink="">
          <xdr:nvSpPr>
            <xdr:cNvPr id="6296" name="Check Box 152" hidden="1">
              <a:extLst>
                <a:ext uri="{63B3BB69-23CF-44E3-9099-C40C66FF867C}">
                  <a14:compatExt spid="_x0000_s6296"/>
                </a:ext>
                <a:ext uri="{FF2B5EF4-FFF2-40B4-BE49-F238E27FC236}">
                  <a16:creationId xmlns:a16="http://schemas.microsoft.com/office/drawing/2014/main" id="{00000000-0008-0000-0400-00009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70</xdr:row>
          <xdr:rowOff>0</xdr:rowOff>
        </xdr:from>
        <xdr:to>
          <xdr:col>8</xdr:col>
          <xdr:colOff>790575</xdr:colOff>
          <xdr:row>71</xdr:row>
          <xdr:rowOff>0</xdr:rowOff>
        </xdr:to>
        <xdr:sp macro="" textlink="">
          <xdr:nvSpPr>
            <xdr:cNvPr id="6297" name="Check Box 153" hidden="1">
              <a:extLst>
                <a:ext uri="{63B3BB69-23CF-44E3-9099-C40C66FF867C}">
                  <a14:compatExt spid="_x0000_s6297"/>
                </a:ext>
                <a:ext uri="{FF2B5EF4-FFF2-40B4-BE49-F238E27FC236}">
                  <a16:creationId xmlns:a16="http://schemas.microsoft.com/office/drawing/2014/main" id="{00000000-0008-0000-0400-00009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70</xdr:row>
          <xdr:rowOff>0</xdr:rowOff>
        </xdr:from>
        <xdr:to>
          <xdr:col>9</xdr:col>
          <xdr:colOff>828675</xdr:colOff>
          <xdr:row>71</xdr:row>
          <xdr:rowOff>0</xdr:rowOff>
        </xdr:to>
        <xdr:sp macro="" textlink="">
          <xdr:nvSpPr>
            <xdr:cNvPr id="6298" name="Check Box 154" hidden="1">
              <a:extLst>
                <a:ext uri="{63B3BB69-23CF-44E3-9099-C40C66FF867C}">
                  <a14:compatExt spid="_x0000_s6298"/>
                </a:ext>
                <a:ext uri="{FF2B5EF4-FFF2-40B4-BE49-F238E27FC236}">
                  <a16:creationId xmlns:a16="http://schemas.microsoft.com/office/drawing/2014/main" id="{00000000-0008-0000-0400-00009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71</xdr:row>
          <xdr:rowOff>0</xdr:rowOff>
        </xdr:from>
        <xdr:to>
          <xdr:col>7</xdr:col>
          <xdr:colOff>809625</xdr:colOff>
          <xdr:row>72</xdr:row>
          <xdr:rowOff>0</xdr:rowOff>
        </xdr:to>
        <xdr:sp macro="" textlink="">
          <xdr:nvSpPr>
            <xdr:cNvPr id="6300" name="Check Box 156" hidden="1">
              <a:extLst>
                <a:ext uri="{63B3BB69-23CF-44E3-9099-C40C66FF867C}">
                  <a14:compatExt spid="_x0000_s6300"/>
                </a:ext>
                <a:ext uri="{FF2B5EF4-FFF2-40B4-BE49-F238E27FC236}">
                  <a16:creationId xmlns:a16="http://schemas.microsoft.com/office/drawing/2014/main" id="{00000000-0008-0000-0400-00009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71</xdr:row>
          <xdr:rowOff>0</xdr:rowOff>
        </xdr:from>
        <xdr:to>
          <xdr:col>8</xdr:col>
          <xdr:colOff>790575</xdr:colOff>
          <xdr:row>72</xdr:row>
          <xdr:rowOff>0</xdr:rowOff>
        </xdr:to>
        <xdr:sp macro="" textlink="">
          <xdr:nvSpPr>
            <xdr:cNvPr id="6301" name="Check Box 157" hidden="1">
              <a:extLst>
                <a:ext uri="{63B3BB69-23CF-44E3-9099-C40C66FF867C}">
                  <a14:compatExt spid="_x0000_s6301"/>
                </a:ext>
                <a:ext uri="{FF2B5EF4-FFF2-40B4-BE49-F238E27FC236}">
                  <a16:creationId xmlns:a16="http://schemas.microsoft.com/office/drawing/2014/main" id="{00000000-0008-0000-0400-00009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71</xdr:row>
          <xdr:rowOff>0</xdr:rowOff>
        </xdr:from>
        <xdr:to>
          <xdr:col>9</xdr:col>
          <xdr:colOff>828675</xdr:colOff>
          <xdr:row>72</xdr:row>
          <xdr:rowOff>0</xdr:rowOff>
        </xdr:to>
        <xdr:sp macro="" textlink="">
          <xdr:nvSpPr>
            <xdr:cNvPr id="6302" name="Check Box 158" hidden="1">
              <a:extLst>
                <a:ext uri="{63B3BB69-23CF-44E3-9099-C40C66FF867C}">
                  <a14:compatExt spid="_x0000_s6302"/>
                </a:ext>
                <a:ext uri="{FF2B5EF4-FFF2-40B4-BE49-F238E27FC236}">
                  <a16:creationId xmlns:a16="http://schemas.microsoft.com/office/drawing/2014/main" id="{00000000-0008-0000-0400-00009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72</xdr:row>
          <xdr:rowOff>0</xdr:rowOff>
        </xdr:from>
        <xdr:to>
          <xdr:col>7</xdr:col>
          <xdr:colOff>809625</xdr:colOff>
          <xdr:row>73</xdr:row>
          <xdr:rowOff>0</xdr:rowOff>
        </xdr:to>
        <xdr:sp macro="" textlink="">
          <xdr:nvSpPr>
            <xdr:cNvPr id="6304" name="Check Box 160" hidden="1">
              <a:extLst>
                <a:ext uri="{63B3BB69-23CF-44E3-9099-C40C66FF867C}">
                  <a14:compatExt spid="_x0000_s6304"/>
                </a:ext>
                <a:ext uri="{FF2B5EF4-FFF2-40B4-BE49-F238E27FC236}">
                  <a16:creationId xmlns:a16="http://schemas.microsoft.com/office/drawing/2014/main" id="{00000000-0008-0000-0400-0000A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72</xdr:row>
          <xdr:rowOff>0</xdr:rowOff>
        </xdr:from>
        <xdr:to>
          <xdr:col>8</xdr:col>
          <xdr:colOff>790575</xdr:colOff>
          <xdr:row>73</xdr:row>
          <xdr:rowOff>0</xdr:rowOff>
        </xdr:to>
        <xdr:sp macro="" textlink="">
          <xdr:nvSpPr>
            <xdr:cNvPr id="6305" name="Check Box 161" hidden="1">
              <a:extLst>
                <a:ext uri="{63B3BB69-23CF-44E3-9099-C40C66FF867C}">
                  <a14:compatExt spid="_x0000_s6305"/>
                </a:ext>
                <a:ext uri="{FF2B5EF4-FFF2-40B4-BE49-F238E27FC236}">
                  <a16:creationId xmlns:a16="http://schemas.microsoft.com/office/drawing/2014/main" id="{00000000-0008-0000-0400-0000A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72</xdr:row>
          <xdr:rowOff>0</xdr:rowOff>
        </xdr:from>
        <xdr:to>
          <xdr:col>9</xdr:col>
          <xdr:colOff>828675</xdr:colOff>
          <xdr:row>73</xdr:row>
          <xdr:rowOff>0</xdr:rowOff>
        </xdr:to>
        <xdr:sp macro="" textlink="">
          <xdr:nvSpPr>
            <xdr:cNvPr id="6306" name="Check Box 162" hidden="1">
              <a:extLst>
                <a:ext uri="{63B3BB69-23CF-44E3-9099-C40C66FF867C}">
                  <a14:compatExt spid="_x0000_s6306"/>
                </a:ext>
                <a:ext uri="{FF2B5EF4-FFF2-40B4-BE49-F238E27FC236}">
                  <a16:creationId xmlns:a16="http://schemas.microsoft.com/office/drawing/2014/main" id="{00000000-0008-0000-0400-0000A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16</xdr:row>
          <xdr:rowOff>0</xdr:rowOff>
        </xdr:from>
        <xdr:to>
          <xdr:col>7</xdr:col>
          <xdr:colOff>809625</xdr:colOff>
          <xdr:row>17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4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16</xdr:row>
          <xdr:rowOff>0</xdr:rowOff>
        </xdr:from>
        <xdr:to>
          <xdr:col>8</xdr:col>
          <xdr:colOff>790575</xdr:colOff>
          <xdr:row>17</xdr:row>
          <xdr:rowOff>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4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16</xdr:row>
          <xdr:rowOff>0</xdr:rowOff>
        </xdr:from>
        <xdr:to>
          <xdr:col>9</xdr:col>
          <xdr:colOff>828675</xdr:colOff>
          <xdr:row>17</xdr:row>
          <xdr:rowOff>0</xdr:rowOff>
        </xdr:to>
        <xdr:sp macro="" textlink="">
          <xdr:nvSpPr>
            <xdr:cNvPr id="6310" name="Check Box 166" hidden="1">
              <a:extLst>
                <a:ext uri="{63B3BB69-23CF-44E3-9099-C40C66FF867C}">
                  <a14:compatExt spid="_x0000_s6310"/>
                </a:ext>
                <a:ext uri="{FF2B5EF4-FFF2-40B4-BE49-F238E27FC236}">
                  <a16:creationId xmlns:a16="http://schemas.microsoft.com/office/drawing/2014/main" id="{00000000-0008-0000-0400-0000A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17</xdr:row>
          <xdr:rowOff>0</xdr:rowOff>
        </xdr:from>
        <xdr:to>
          <xdr:col>7</xdr:col>
          <xdr:colOff>809625</xdr:colOff>
          <xdr:row>18</xdr:row>
          <xdr:rowOff>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4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17</xdr:row>
          <xdr:rowOff>0</xdr:rowOff>
        </xdr:from>
        <xdr:to>
          <xdr:col>8</xdr:col>
          <xdr:colOff>790575</xdr:colOff>
          <xdr:row>18</xdr:row>
          <xdr:rowOff>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4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17</xdr:row>
          <xdr:rowOff>0</xdr:rowOff>
        </xdr:from>
        <xdr:to>
          <xdr:col>9</xdr:col>
          <xdr:colOff>828675</xdr:colOff>
          <xdr:row>18</xdr:row>
          <xdr:rowOff>0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4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18</xdr:row>
          <xdr:rowOff>0</xdr:rowOff>
        </xdr:from>
        <xdr:to>
          <xdr:col>7</xdr:col>
          <xdr:colOff>809625</xdr:colOff>
          <xdr:row>19</xdr:row>
          <xdr:rowOff>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4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18</xdr:row>
          <xdr:rowOff>0</xdr:rowOff>
        </xdr:from>
        <xdr:to>
          <xdr:col>8</xdr:col>
          <xdr:colOff>790575</xdr:colOff>
          <xdr:row>19</xdr:row>
          <xdr:rowOff>0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4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18</xdr:row>
          <xdr:rowOff>0</xdr:rowOff>
        </xdr:from>
        <xdr:to>
          <xdr:col>9</xdr:col>
          <xdr:colOff>828675</xdr:colOff>
          <xdr:row>19</xdr:row>
          <xdr:rowOff>0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4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19</xdr:row>
          <xdr:rowOff>0</xdr:rowOff>
        </xdr:from>
        <xdr:to>
          <xdr:col>7</xdr:col>
          <xdr:colOff>809625</xdr:colOff>
          <xdr:row>20</xdr:row>
          <xdr:rowOff>0</xdr:rowOff>
        </xdr:to>
        <xdr:sp macro="" textlink="">
          <xdr:nvSpPr>
            <xdr:cNvPr id="6320" name="Check Box 176" hidden="1">
              <a:extLst>
                <a:ext uri="{63B3BB69-23CF-44E3-9099-C40C66FF867C}">
                  <a14:compatExt spid="_x0000_s6320"/>
                </a:ext>
                <a:ext uri="{FF2B5EF4-FFF2-40B4-BE49-F238E27FC236}">
                  <a16:creationId xmlns:a16="http://schemas.microsoft.com/office/drawing/2014/main" id="{00000000-0008-0000-0400-0000B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19</xdr:row>
          <xdr:rowOff>0</xdr:rowOff>
        </xdr:from>
        <xdr:to>
          <xdr:col>8</xdr:col>
          <xdr:colOff>790575</xdr:colOff>
          <xdr:row>20</xdr:row>
          <xdr:rowOff>0</xdr:rowOff>
        </xdr:to>
        <xdr:sp macro="" textlink="">
          <xdr:nvSpPr>
            <xdr:cNvPr id="6321" name="Check Box 177" hidden="1">
              <a:extLst>
                <a:ext uri="{63B3BB69-23CF-44E3-9099-C40C66FF867C}">
                  <a14:compatExt spid="_x0000_s6321"/>
                </a:ext>
                <a:ext uri="{FF2B5EF4-FFF2-40B4-BE49-F238E27FC236}">
                  <a16:creationId xmlns:a16="http://schemas.microsoft.com/office/drawing/2014/main" id="{00000000-0008-0000-0400-0000B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19</xdr:row>
          <xdr:rowOff>0</xdr:rowOff>
        </xdr:from>
        <xdr:to>
          <xdr:col>9</xdr:col>
          <xdr:colOff>828675</xdr:colOff>
          <xdr:row>20</xdr:row>
          <xdr:rowOff>0</xdr:rowOff>
        </xdr:to>
        <xdr:sp macro="" textlink="">
          <xdr:nvSpPr>
            <xdr:cNvPr id="6322" name="Check Box 178" hidden="1">
              <a:extLst>
                <a:ext uri="{63B3BB69-23CF-44E3-9099-C40C66FF867C}">
                  <a14:compatExt spid="_x0000_s6322"/>
                </a:ext>
                <a:ext uri="{FF2B5EF4-FFF2-40B4-BE49-F238E27FC236}">
                  <a16:creationId xmlns:a16="http://schemas.microsoft.com/office/drawing/2014/main" id="{00000000-0008-0000-0400-0000B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50</xdr:row>
          <xdr:rowOff>0</xdr:rowOff>
        </xdr:from>
        <xdr:to>
          <xdr:col>7</xdr:col>
          <xdr:colOff>809625</xdr:colOff>
          <xdr:row>51</xdr:row>
          <xdr:rowOff>0</xdr:rowOff>
        </xdr:to>
        <xdr:sp macro="" textlink="">
          <xdr:nvSpPr>
            <xdr:cNvPr id="6324" name="Check Box 180" hidden="1">
              <a:extLst>
                <a:ext uri="{63B3BB69-23CF-44E3-9099-C40C66FF867C}">
                  <a14:compatExt spid="_x0000_s6324"/>
                </a:ext>
                <a:ext uri="{FF2B5EF4-FFF2-40B4-BE49-F238E27FC236}">
                  <a16:creationId xmlns:a16="http://schemas.microsoft.com/office/drawing/2014/main" id="{00000000-0008-0000-0400-0000B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50</xdr:row>
          <xdr:rowOff>0</xdr:rowOff>
        </xdr:from>
        <xdr:to>
          <xdr:col>8</xdr:col>
          <xdr:colOff>790575</xdr:colOff>
          <xdr:row>51</xdr:row>
          <xdr:rowOff>0</xdr:rowOff>
        </xdr:to>
        <xdr:sp macro="" textlink="">
          <xdr:nvSpPr>
            <xdr:cNvPr id="6325" name="Check Box 181" hidden="1">
              <a:extLst>
                <a:ext uri="{63B3BB69-23CF-44E3-9099-C40C66FF867C}">
                  <a14:compatExt spid="_x0000_s6325"/>
                </a:ext>
                <a:ext uri="{FF2B5EF4-FFF2-40B4-BE49-F238E27FC236}">
                  <a16:creationId xmlns:a16="http://schemas.microsoft.com/office/drawing/2014/main" id="{00000000-0008-0000-0400-0000B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50</xdr:row>
          <xdr:rowOff>0</xdr:rowOff>
        </xdr:from>
        <xdr:to>
          <xdr:col>9</xdr:col>
          <xdr:colOff>828675</xdr:colOff>
          <xdr:row>51</xdr:row>
          <xdr:rowOff>0</xdr:rowOff>
        </xdr:to>
        <xdr:sp macro="" textlink="">
          <xdr:nvSpPr>
            <xdr:cNvPr id="6326" name="Check Box 182" hidden="1">
              <a:extLst>
                <a:ext uri="{63B3BB69-23CF-44E3-9099-C40C66FF867C}">
                  <a14:compatExt spid="_x0000_s6326"/>
                </a:ext>
                <a:ext uri="{FF2B5EF4-FFF2-40B4-BE49-F238E27FC236}">
                  <a16:creationId xmlns:a16="http://schemas.microsoft.com/office/drawing/2014/main" id="{00000000-0008-0000-0400-0000B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73</xdr:row>
          <xdr:rowOff>0</xdr:rowOff>
        </xdr:from>
        <xdr:to>
          <xdr:col>7</xdr:col>
          <xdr:colOff>809625</xdr:colOff>
          <xdr:row>74</xdr:row>
          <xdr:rowOff>0</xdr:rowOff>
        </xdr:to>
        <xdr:sp macro="" textlink="">
          <xdr:nvSpPr>
            <xdr:cNvPr id="6328" name="Check Box 184" hidden="1">
              <a:extLst>
                <a:ext uri="{63B3BB69-23CF-44E3-9099-C40C66FF867C}">
                  <a14:compatExt spid="_x0000_s6328"/>
                </a:ext>
                <a:ext uri="{FF2B5EF4-FFF2-40B4-BE49-F238E27FC236}">
                  <a16:creationId xmlns:a16="http://schemas.microsoft.com/office/drawing/2014/main" id="{00000000-0008-0000-0400-0000B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73</xdr:row>
          <xdr:rowOff>0</xdr:rowOff>
        </xdr:from>
        <xdr:to>
          <xdr:col>8</xdr:col>
          <xdr:colOff>790575</xdr:colOff>
          <xdr:row>74</xdr:row>
          <xdr:rowOff>0</xdr:rowOff>
        </xdr:to>
        <xdr:sp macro="" textlink="">
          <xdr:nvSpPr>
            <xdr:cNvPr id="6329" name="Check Box 185" hidden="1">
              <a:extLst>
                <a:ext uri="{63B3BB69-23CF-44E3-9099-C40C66FF867C}">
                  <a14:compatExt spid="_x0000_s6329"/>
                </a:ext>
                <a:ext uri="{FF2B5EF4-FFF2-40B4-BE49-F238E27FC236}">
                  <a16:creationId xmlns:a16="http://schemas.microsoft.com/office/drawing/2014/main" id="{00000000-0008-0000-0400-0000B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73</xdr:row>
          <xdr:rowOff>0</xdr:rowOff>
        </xdr:from>
        <xdr:to>
          <xdr:col>9</xdr:col>
          <xdr:colOff>828675</xdr:colOff>
          <xdr:row>74</xdr:row>
          <xdr:rowOff>0</xdr:rowOff>
        </xdr:to>
        <xdr:sp macro="" textlink="">
          <xdr:nvSpPr>
            <xdr:cNvPr id="6330" name="Check Box 186" hidden="1">
              <a:extLst>
                <a:ext uri="{63B3BB69-23CF-44E3-9099-C40C66FF867C}">
                  <a14:compatExt spid="_x0000_s6330"/>
                </a:ext>
                <a:ext uri="{FF2B5EF4-FFF2-40B4-BE49-F238E27FC236}">
                  <a16:creationId xmlns:a16="http://schemas.microsoft.com/office/drawing/2014/main" id="{00000000-0008-0000-0400-0000B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74</xdr:row>
          <xdr:rowOff>0</xdr:rowOff>
        </xdr:from>
        <xdr:to>
          <xdr:col>7</xdr:col>
          <xdr:colOff>809625</xdr:colOff>
          <xdr:row>75</xdr:row>
          <xdr:rowOff>0</xdr:rowOff>
        </xdr:to>
        <xdr:sp macro="" textlink="">
          <xdr:nvSpPr>
            <xdr:cNvPr id="6332" name="Check Box 188" hidden="1">
              <a:extLst>
                <a:ext uri="{63B3BB69-23CF-44E3-9099-C40C66FF867C}">
                  <a14:compatExt spid="_x0000_s6332"/>
                </a:ext>
                <a:ext uri="{FF2B5EF4-FFF2-40B4-BE49-F238E27FC236}">
                  <a16:creationId xmlns:a16="http://schemas.microsoft.com/office/drawing/2014/main" id="{00000000-0008-0000-0400-0000B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74</xdr:row>
          <xdr:rowOff>0</xdr:rowOff>
        </xdr:from>
        <xdr:to>
          <xdr:col>8</xdr:col>
          <xdr:colOff>790575</xdr:colOff>
          <xdr:row>75</xdr:row>
          <xdr:rowOff>0</xdr:rowOff>
        </xdr:to>
        <xdr:sp macro="" textlink="">
          <xdr:nvSpPr>
            <xdr:cNvPr id="6333" name="Check Box 189" hidden="1">
              <a:extLst>
                <a:ext uri="{63B3BB69-23CF-44E3-9099-C40C66FF867C}">
                  <a14:compatExt spid="_x0000_s6333"/>
                </a:ext>
                <a:ext uri="{FF2B5EF4-FFF2-40B4-BE49-F238E27FC236}">
                  <a16:creationId xmlns:a16="http://schemas.microsoft.com/office/drawing/2014/main" id="{00000000-0008-0000-0400-0000B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74</xdr:row>
          <xdr:rowOff>0</xdr:rowOff>
        </xdr:from>
        <xdr:to>
          <xdr:col>9</xdr:col>
          <xdr:colOff>828675</xdr:colOff>
          <xdr:row>75</xdr:row>
          <xdr:rowOff>0</xdr:rowOff>
        </xdr:to>
        <xdr:sp macro="" textlink="">
          <xdr:nvSpPr>
            <xdr:cNvPr id="6334" name="Check Box 190" hidden="1">
              <a:extLst>
                <a:ext uri="{63B3BB69-23CF-44E3-9099-C40C66FF867C}">
                  <a14:compatExt spid="_x0000_s6334"/>
                </a:ext>
                <a:ext uri="{FF2B5EF4-FFF2-40B4-BE49-F238E27FC236}">
                  <a16:creationId xmlns:a16="http://schemas.microsoft.com/office/drawing/2014/main" id="{00000000-0008-0000-0400-0000B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75</xdr:row>
          <xdr:rowOff>0</xdr:rowOff>
        </xdr:from>
        <xdr:to>
          <xdr:col>7</xdr:col>
          <xdr:colOff>809625</xdr:colOff>
          <xdr:row>76</xdr:row>
          <xdr:rowOff>0</xdr:rowOff>
        </xdr:to>
        <xdr:sp macro="" textlink="">
          <xdr:nvSpPr>
            <xdr:cNvPr id="6336" name="Check Box 192" hidden="1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00000000-0008-0000-0400-0000C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75</xdr:row>
          <xdr:rowOff>0</xdr:rowOff>
        </xdr:from>
        <xdr:to>
          <xdr:col>8</xdr:col>
          <xdr:colOff>790575</xdr:colOff>
          <xdr:row>76</xdr:row>
          <xdr:rowOff>0</xdr:rowOff>
        </xdr:to>
        <xdr:sp macro="" textlink="">
          <xdr:nvSpPr>
            <xdr:cNvPr id="6337" name="Check Box 193" hidden="1">
              <a:extLst>
                <a:ext uri="{63B3BB69-23CF-44E3-9099-C40C66FF867C}">
                  <a14:compatExt spid="_x0000_s6337"/>
                </a:ext>
                <a:ext uri="{FF2B5EF4-FFF2-40B4-BE49-F238E27FC236}">
                  <a16:creationId xmlns:a16="http://schemas.microsoft.com/office/drawing/2014/main" id="{00000000-0008-0000-0400-0000C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75</xdr:row>
          <xdr:rowOff>0</xdr:rowOff>
        </xdr:from>
        <xdr:to>
          <xdr:col>9</xdr:col>
          <xdr:colOff>828675</xdr:colOff>
          <xdr:row>76</xdr:row>
          <xdr:rowOff>0</xdr:rowOff>
        </xdr:to>
        <xdr:sp macro="" textlink="">
          <xdr:nvSpPr>
            <xdr:cNvPr id="6338" name="Check Box 194" hidden="1">
              <a:extLst>
                <a:ext uri="{63B3BB69-23CF-44E3-9099-C40C66FF867C}">
                  <a14:compatExt spid="_x0000_s6338"/>
                </a:ext>
                <a:ext uri="{FF2B5EF4-FFF2-40B4-BE49-F238E27FC236}">
                  <a16:creationId xmlns:a16="http://schemas.microsoft.com/office/drawing/2014/main" id="{00000000-0008-0000-0400-0000C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20</xdr:row>
          <xdr:rowOff>0</xdr:rowOff>
        </xdr:from>
        <xdr:to>
          <xdr:col>7</xdr:col>
          <xdr:colOff>809625</xdr:colOff>
          <xdr:row>21</xdr:row>
          <xdr:rowOff>0</xdr:rowOff>
        </xdr:to>
        <xdr:sp macro="" textlink="">
          <xdr:nvSpPr>
            <xdr:cNvPr id="6340" name="Check Box 196" hidden="1">
              <a:extLst>
                <a:ext uri="{63B3BB69-23CF-44E3-9099-C40C66FF867C}">
                  <a14:compatExt spid="_x0000_s6340"/>
                </a:ext>
                <a:ext uri="{FF2B5EF4-FFF2-40B4-BE49-F238E27FC236}">
                  <a16:creationId xmlns:a16="http://schemas.microsoft.com/office/drawing/2014/main" id="{00000000-0008-0000-0400-0000C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20</xdr:row>
          <xdr:rowOff>0</xdr:rowOff>
        </xdr:from>
        <xdr:to>
          <xdr:col>8</xdr:col>
          <xdr:colOff>790575</xdr:colOff>
          <xdr:row>21</xdr:row>
          <xdr:rowOff>0</xdr:rowOff>
        </xdr:to>
        <xdr:sp macro="" textlink="">
          <xdr:nvSpPr>
            <xdr:cNvPr id="6341" name="Check Box 197" hidden="1">
              <a:extLst>
                <a:ext uri="{63B3BB69-23CF-44E3-9099-C40C66FF867C}">
                  <a14:compatExt spid="_x0000_s6341"/>
                </a:ext>
                <a:ext uri="{FF2B5EF4-FFF2-40B4-BE49-F238E27FC236}">
                  <a16:creationId xmlns:a16="http://schemas.microsoft.com/office/drawing/2014/main" id="{00000000-0008-0000-0400-0000C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20</xdr:row>
          <xdr:rowOff>0</xdr:rowOff>
        </xdr:from>
        <xdr:to>
          <xdr:col>9</xdr:col>
          <xdr:colOff>828675</xdr:colOff>
          <xdr:row>21</xdr:row>
          <xdr:rowOff>0</xdr:rowOff>
        </xdr:to>
        <xdr:sp macro="" textlink="">
          <xdr:nvSpPr>
            <xdr:cNvPr id="6342" name="Check Box 198" hidden="1">
              <a:extLst>
                <a:ext uri="{63B3BB69-23CF-44E3-9099-C40C66FF867C}">
                  <a14:compatExt spid="_x0000_s6342"/>
                </a:ext>
                <a:ext uri="{FF2B5EF4-FFF2-40B4-BE49-F238E27FC236}">
                  <a16:creationId xmlns:a16="http://schemas.microsoft.com/office/drawing/2014/main" id="{00000000-0008-0000-0400-0000C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51</xdr:row>
          <xdr:rowOff>0</xdr:rowOff>
        </xdr:from>
        <xdr:to>
          <xdr:col>7</xdr:col>
          <xdr:colOff>809625</xdr:colOff>
          <xdr:row>52</xdr:row>
          <xdr:rowOff>0</xdr:rowOff>
        </xdr:to>
        <xdr:sp macro="" textlink="">
          <xdr:nvSpPr>
            <xdr:cNvPr id="6344" name="Check Box 200" hidden="1">
              <a:extLst>
                <a:ext uri="{63B3BB69-23CF-44E3-9099-C40C66FF867C}">
                  <a14:compatExt spid="_x0000_s6344"/>
                </a:ext>
                <a:ext uri="{FF2B5EF4-FFF2-40B4-BE49-F238E27FC236}">
                  <a16:creationId xmlns:a16="http://schemas.microsoft.com/office/drawing/2014/main" id="{00000000-0008-0000-0400-0000C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51</xdr:row>
          <xdr:rowOff>0</xdr:rowOff>
        </xdr:from>
        <xdr:to>
          <xdr:col>8</xdr:col>
          <xdr:colOff>790575</xdr:colOff>
          <xdr:row>52</xdr:row>
          <xdr:rowOff>0</xdr:rowOff>
        </xdr:to>
        <xdr:sp macro="" textlink="">
          <xdr:nvSpPr>
            <xdr:cNvPr id="6345" name="Check Box 201" hidden="1">
              <a:extLst>
                <a:ext uri="{63B3BB69-23CF-44E3-9099-C40C66FF867C}">
                  <a14:compatExt spid="_x0000_s6345"/>
                </a:ext>
                <a:ext uri="{FF2B5EF4-FFF2-40B4-BE49-F238E27FC236}">
                  <a16:creationId xmlns:a16="http://schemas.microsoft.com/office/drawing/2014/main" id="{00000000-0008-0000-0400-0000C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51</xdr:row>
          <xdr:rowOff>0</xdr:rowOff>
        </xdr:from>
        <xdr:to>
          <xdr:col>9</xdr:col>
          <xdr:colOff>828675</xdr:colOff>
          <xdr:row>52</xdr:row>
          <xdr:rowOff>0</xdr:rowOff>
        </xdr:to>
        <xdr:sp macro="" textlink="">
          <xdr:nvSpPr>
            <xdr:cNvPr id="6346" name="Check Box 202" hidden="1">
              <a:extLst>
                <a:ext uri="{63B3BB69-23CF-44E3-9099-C40C66FF867C}">
                  <a14:compatExt spid="_x0000_s6346"/>
                </a:ext>
                <a:ext uri="{FF2B5EF4-FFF2-40B4-BE49-F238E27FC236}">
                  <a16:creationId xmlns:a16="http://schemas.microsoft.com/office/drawing/2014/main" id="{00000000-0008-0000-0400-0000C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52</xdr:row>
          <xdr:rowOff>0</xdr:rowOff>
        </xdr:from>
        <xdr:to>
          <xdr:col>7</xdr:col>
          <xdr:colOff>809625</xdr:colOff>
          <xdr:row>53</xdr:row>
          <xdr:rowOff>0</xdr:rowOff>
        </xdr:to>
        <xdr:sp macro="" textlink="">
          <xdr:nvSpPr>
            <xdr:cNvPr id="6348" name="Check Box 204" hidden="1">
              <a:extLst>
                <a:ext uri="{63B3BB69-23CF-44E3-9099-C40C66FF867C}">
                  <a14:compatExt spid="_x0000_s6348"/>
                </a:ext>
                <a:ext uri="{FF2B5EF4-FFF2-40B4-BE49-F238E27FC236}">
                  <a16:creationId xmlns:a16="http://schemas.microsoft.com/office/drawing/2014/main" id="{00000000-0008-0000-0400-0000C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52</xdr:row>
          <xdr:rowOff>0</xdr:rowOff>
        </xdr:from>
        <xdr:to>
          <xdr:col>8</xdr:col>
          <xdr:colOff>790575</xdr:colOff>
          <xdr:row>53</xdr:row>
          <xdr:rowOff>0</xdr:rowOff>
        </xdr:to>
        <xdr:sp macro="" textlink="">
          <xdr:nvSpPr>
            <xdr:cNvPr id="6349" name="Check Box 205" hidden="1">
              <a:extLst>
                <a:ext uri="{63B3BB69-23CF-44E3-9099-C40C66FF867C}">
                  <a14:compatExt spid="_x0000_s6349"/>
                </a:ext>
                <a:ext uri="{FF2B5EF4-FFF2-40B4-BE49-F238E27FC236}">
                  <a16:creationId xmlns:a16="http://schemas.microsoft.com/office/drawing/2014/main" id="{00000000-0008-0000-0400-0000C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52</xdr:row>
          <xdr:rowOff>0</xdr:rowOff>
        </xdr:from>
        <xdr:to>
          <xdr:col>9</xdr:col>
          <xdr:colOff>828675</xdr:colOff>
          <xdr:row>53</xdr:row>
          <xdr:rowOff>0</xdr:rowOff>
        </xdr:to>
        <xdr:sp macro="" textlink="">
          <xdr:nvSpPr>
            <xdr:cNvPr id="6350" name="Check Box 206" hidden="1">
              <a:extLst>
                <a:ext uri="{63B3BB69-23CF-44E3-9099-C40C66FF867C}">
                  <a14:compatExt spid="_x0000_s6350"/>
                </a:ext>
                <a:ext uri="{FF2B5EF4-FFF2-40B4-BE49-F238E27FC236}">
                  <a16:creationId xmlns:a16="http://schemas.microsoft.com/office/drawing/2014/main" id="{00000000-0008-0000-0400-0000C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54</xdr:row>
          <xdr:rowOff>0</xdr:rowOff>
        </xdr:from>
        <xdr:to>
          <xdr:col>7</xdr:col>
          <xdr:colOff>809625</xdr:colOff>
          <xdr:row>55</xdr:row>
          <xdr:rowOff>0</xdr:rowOff>
        </xdr:to>
        <xdr:sp macro="" textlink="">
          <xdr:nvSpPr>
            <xdr:cNvPr id="6352" name="Check Box 208" hidden="1">
              <a:extLst>
                <a:ext uri="{63B3BB69-23CF-44E3-9099-C40C66FF867C}">
                  <a14:compatExt spid="_x0000_s6352"/>
                </a:ext>
                <a:ext uri="{FF2B5EF4-FFF2-40B4-BE49-F238E27FC236}">
                  <a16:creationId xmlns:a16="http://schemas.microsoft.com/office/drawing/2014/main" id="{00000000-0008-0000-0400-0000D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54</xdr:row>
          <xdr:rowOff>0</xdr:rowOff>
        </xdr:from>
        <xdr:to>
          <xdr:col>8</xdr:col>
          <xdr:colOff>790575</xdr:colOff>
          <xdr:row>55</xdr:row>
          <xdr:rowOff>0</xdr:rowOff>
        </xdr:to>
        <xdr:sp macro="" textlink="">
          <xdr:nvSpPr>
            <xdr:cNvPr id="6353" name="Check Box 209" hidden="1">
              <a:extLst>
                <a:ext uri="{63B3BB69-23CF-44E3-9099-C40C66FF867C}">
                  <a14:compatExt spid="_x0000_s6353"/>
                </a:ext>
                <a:ext uri="{FF2B5EF4-FFF2-40B4-BE49-F238E27FC236}">
                  <a16:creationId xmlns:a16="http://schemas.microsoft.com/office/drawing/2014/main" id="{00000000-0008-0000-0400-0000D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54</xdr:row>
          <xdr:rowOff>0</xdr:rowOff>
        </xdr:from>
        <xdr:to>
          <xdr:col>9</xdr:col>
          <xdr:colOff>828675</xdr:colOff>
          <xdr:row>55</xdr:row>
          <xdr:rowOff>0</xdr:rowOff>
        </xdr:to>
        <xdr:sp macro="" textlink="">
          <xdr:nvSpPr>
            <xdr:cNvPr id="6354" name="Check Box 210" hidden="1">
              <a:extLst>
                <a:ext uri="{63B3BB69-23CF-44E3-9099-C40C66FF867C}">
                  <a14:compatExt spid="_x0000_s6354"/>
                </a:ext>
                <a:ext uri="{FF2B5EF4-FFF2-40B4-BE49-F238E27FC236}">
                  <a16:creationId xmlns:a16="http://schemas.microsoft.com/office/drawing/2014/main" id="{00000000-0008-0000-0400-0000D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76</xdr:row>
          <xdr:rowOff>0</xdr:rowOff>
        </xdr:from>
        <xdr:to>
          <xdr:col>7</xdr:col>
          <xdr:colOff>809625</xdr:colOff>
          <xdr:row>77</xdr:row>
          <xdr:rowOff>0</xdr:rowOff>
        </xdr:to>
        <xdr:sp macro="" textlink="">
          <xdr:nvSpPr>
            <xdr:cNvPr id="6356" name="Check Box 212" hidden="1">
              <a:extLst>
                <a:ext uri="{63B3BB69-23CF-44E3-9099-C40C66FF867C}">
                  <a14:compatExt spid="_x0000_s6356"/>
                </a:ext>
                <a:ext uri="{FF2B5EF4-FFF2-40B4-BE49-F238E27FC236}">
                  <a16:creationId xmlns:a16="http://schemas.microsoft.com/office/drawing/2014/main" id="{00000000-0008-0000-0400-0000D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76</xdr:row>
          <xdr:rowOff>0</xdr:rowOff>
        </xdr:from>
        <xdr:to>
          <xdr:col>8</xdr:col>
          <xdr:colOff>790575</xdr:colOff>
          <xdr:row>77</xdr:row>
          <xdr:rowOff>0</xdr:rowOff>
        </xdr:to>
        <xdr:sp macro="" textlink="">
          <xdr:nvSpPr>
            <xdr:cNvPr id="6357" name="Check Box 213" hidden="1">
              <a:extLst>
                <a:ext uri="{63B3BB69-23CF-44E3-9099-C40C66FF867C}">
                  <a14:compatExt spid="_x0000_s6357"/>
                </a:ext>
                <a:ext uri="{FF2B5EF4-FFF2-40B4-BE49-F238E27FC236}">
                  <a16:creationId xmlns:a16="http://schemas.microsoft.com/office/drawing/2014/main" id="{00000000-0008-0000-0400-0000D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76</xdr:row>
          <xdr:rowOff>0</xdr:rowOff>
        </xdr:from>
        <xdr:to>
          <xdr:col>9</xdr:col>
          <xdr:colOff>828675</xdr:colOff>
          <xdr:row>77</xdr:row>
          <xdr:rowOff>0</xdr:rowOff>
        </xdr:to>
        <xdr:sp macro="" textlink="">
          <xdr:nvSpPr>
            <xdr:cNvPr id="6358" name="Check Box 214" hidden="1">
              <a:extLst>
                <a:ext uri="{63B3BB69-23CF-44E3-9099-C40C66FF867C}">
                  <a14:compatExt spid="_x0000_s6358"/>
                </a:ext>
                <a:ext uri="{FF2B5EF4-FFF2-40B4-BE49-F238E27FC236}">
                  <a16:creationId xmlns:a16="http://schemas.microsoft.com/office/drawing/2014/main" id="{00000000-0008-0000-0400-0000D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77</xdr:row>
          <xdr:rowOff>0</xdr:rowOff>
        </xdr:from>
        <xdr:to>
          <xdr:col>7</xdr:col>
          <xdr:colOff>809625</xdr:colOff>
          <xdr:row>78</xdr:row>
          <xdr:rowOff>0</xdr:rowOff>
        </xdr:to>
        <xdr:sp macro="" textlink="">
          <xdr:nvSpPr>
            <xdr:cNvPr id="6360" name="Check Box 216" hidden="1">
              <a:extLst>
                <a:ext uri="{63B3BB69-23CF-44E3-9099-C40C66FF867C}">
                  <a14:compatExt spid="_x0000_s6360"/>
                </a:ext>
                <a:ext uri="{FF2B5EF4-FFF2-40B4-BE49-F238E27FC236}">
                  <a16:creationId xmlns:a16="http://schemas.microsoft.com/office/drawing/2014/main" id="{00000000-0008-0000-0400-0000D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77</xdr:row>
          <xdr:rowOff>0</xdr:rowOff>
        </xdr:from>
        <xdr:to>
          <xdr:col>8</xdr:col>
          <xdr:colOff>790575</xdr:colOff>
          <xdr:row>78</xdr:row>
          <xdr:rowOff>0</xdr:rowOff>
        </xdr:to>
        <xdr:sp macro="" textlink="">
          <xdr:nvSpPr>
            <xdr:cNvPr id="6361" name="Check Box 217" hidden="1">
              <a:extLst>
                <a:ext uri="{63B3BB69-23CF-44E3-9099-C40C66FF867C}">
                  <a14:compatExt spid="_x0000_s6361"/>
                </a:ext>
                <a:ext uri="{FF2B5EF4-FFF2-40B4-BE49-F238E27FC236}">
                  <a16:creationId xmlns:a16="http://schemas.microsoft.com/office/drawing/2014/main" id="{00000000-0008-0000-0400-0000D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77</xdr:row>
          <xdr:rowOff>0</xdr:rowOff>
        </xdr:from>
        <xdr:to>
          <xdr:col>9</xdr:col>
          <xdr:colOff>828675</xdr:colOff>
          <xdr:row>78</xdr:row>
          <xdr:rowOff>0</xdr:rowOff>
        </xdr:to>
        <xdr:sp macro="" textlink="">
          <xdr:nvSpPr>
            <xdr:cNvPr id="6362" name="Check Box 218" hidden="1">
              <a:extLst>
                <a:ext uri="{63B3BB69-23CF-44E3-9099-C40C66FF867C}">
                  <a14:compatExt spid="_x0000_s6362"/>
                </a:ext>
                <a:ext uri="{FF2B5EF4-FFF2-40B4-BE49-F238E27FC236}">
                  <a16:creationId xmlns:a16="http://schemas.microsoft.com/office/drawing/2014/main" id="{00000000-0008-0000-0400-0000D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55</xdr:row>
          <xdr:rowOff>0</xdr:rowOff>
        </xdr:from>
        <xdr:to>
          <xdr:col>7</xdr:col>
          <xdr:colOff>809625</xdr:colOff>
          <xdr:row>56</xdr:row>
          <xdr:rowOff>0</xdr:rowOff>
        </xdr:to>
        <xdr:sp macro="" textlink="">
          <xdr:nvSpPr>
            <xdr:cNvPr id="6364" name="Check Box 220" hidden="1">
              <a:extLst>
                <a:ext uri="{63B3BB69-23CF-44E3-9099-C40C66FF867C}">
                  <a14:compatExt spid="_x0000_s6364"/>
                </a:ext>
                <a:ext uri="{FF2B5EF4-FFF2-40B4-BE49-F238E27FC236}">
                  <a16:creationId xmlns:a16="http://schemas.microsoft.com/office/drawing/2014/main" id="{00000000-0008-0000-0400-0000D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55</xdr:row>
          <xdr:rowOff>0</xdr:rowOff>
        </xdr:from>
        <xdr:to>
          <xdr:col>8</xdr:col>
          <xdr:colOff>790575</xdr:colOff>
          <xdr:row>56</xdr:row>
          <xdr:rowOff>0</xdr:rowOff>
        </xdr:to>
        <xdr:sp macro="" textlink="">
          <xdr:nvSpPr>
            <xdr:cNvPr id="6365" name="Check Box 221" hidden="1">
              <a:extLst>
                <a:ext uri="{63B3BB69-23CF-44E3-9099-C40C66FF867C}">
                  <a14:compatExt spid="_x0000_s6365"/>
                </a:ext>
                <a:ext uri="{FF2B5EF4-FFF2-40B4-BE49-F238E27FC236}">
                  <a16:creationId xmlns:a16="http://schemas.microsoft.com/office/drawing/2014/main" id="{00000000-0008-0000-0400-0000D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55</xdr:row>
          <xdr:rowOff>0</xdr:rowOff>
        </xdr:from>
        <xdr:to>
          <xdr:col>9</xdr:col>
          <xdr:colOff>828675</xdr:colOff>
          <xdr:row>56</xdr:row>
          <xdr:rowOff>0</xdr:rowOff>
        </xdr:to>
        <xdr:sp macro="" textlink="">
          <xdr:nvSpPr>
            <xdr:cNvPr id="6366" name="Check Box 222" hidden="1">
              <a:extLst>
                <a:ext uri="{63B3BB69-23CF-44E3-9099-C40C66FF867C}">
                  <a14:compatExt spid="_x0000_s6366"/>
                </a:ext>
                <a:ext uri="{FF2B5EF4-FFF2-40B4-BE49-F238E27FC236}">
                  <a16:creationId xmlns:a16="http://schemas.microsoft.com/office/drawing/2014/main" id="{00000000-0008-0000-0400-0000D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56</xdr:row>
          <xdr:rowOff>0</xdr:rowOff>
        </xdr:from>
        <xdr:to>
          <xdr:col>7</xdr:col>
          <xdr:colOff>809625</xdr:colOff>
          <xdr:row>57</xdr:row>
          <xdr:rowOff>0</xdr:rowOff>
        </xdr:to>
        <xdr:sp macro="" textlink="">
          <xdr:nvSpPr>
            <xdr:cNvPr id="6368" name="Check Box 224" hidden="1">
              <a:extLst>
                <a:ext uri="{63B3BB69-23CF-44E3-9099-C40C66FF867C}">
                  <a14:compatExt spid="_x0000_s6368"/>
                </a:ext>
                <a:ext uri="{FF2B5EF4-FFF2-40B4-BE49-F238E27FC236}">
                  <a16:creationId xmlns:a16="http://schemas.microsoft.com/office/drawing/2014/main" id="{00000000-0008-0000-0400-0000E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56</xdr:row>
          <xdr:rowOff>0</xdr:rowOff>
        </xdr:from>
        <xdr:to>
          <xdr:col>8</xdr:col>
          <xdr:colOff>790575</xdr:colOff>
          <xdr:row>57</xdr:row>
          <xdr:rowOff>0</xdr:rowOff>
        </xdr:to>
        <xdr:sp macro="" textlink="">
          <xdr:nvSpPr>
            <xdr:cNvPr id="6369" name="Check Box 225" hidden="1">
              <a:extLst>
                <a:ext uri="{63B3BB69-23CF-44E3-9099-C40C66FF867C}">
                  <a14:compatExt spid="_x0000_s6369"/>
                </a:ext>
                <a:ext uri="{FF2B5EF4-FFF2-40B4-BE49-F238E27FC236}">
                  <a16:creationId xmlns:a16="http://schemas.microsoft.com/office/drawing/2014/main" id="{00000000-0008-0000-0400-0000E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56</xdr:row>
          <xdr:rowOff>0</xdr:rowOff>
        </xdr:from>
        <xdr:to>
          <xdr:col>9</xdr:col>
          <xdr:colOff>828675</xdr:colOff>
          <xdr:row>57</xdr:row>
          <xdr:rowOff>0</xdr:rowOff>
        </xdr:to>
        <xdr:sp macro="" textlink="">
          <xdr:nvSpPr>
            <xdr:cNvPr id="6370" name="Check Box 226" hidden="1">
              <a:extLst>
                <a:ext uri="{63B3BB69-23CF-44E3-9099-C40C66FF867C}">
                  <a14:compatExt spid="_x0000_s6370"/>
                </a:ext>
                <a:ext uri="{FF2B5EF4-FFF2-40B4-BE49-F238E27FC236}">
                  <a16:creationId xmlns:a16="http://schemas.microsoft.com/office/drawing/2014/main" id="{00000000-0008-0000-0400-0000E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78</xdr:row>
          <xdr:rowOff>0</xdr:rowOff>
        </xdr:from>
        <xdr:to>
          <xdr:col>7</xdr:col>
          <xdr:colOff>809625</xdr:colOff>
          <xdr:row>79</xdr:row>
          <xdr:rowOff>0</xdr:rowOff>
        </xdr:to>
        <xdr:sp macro="" textlink="">
          <xdr:nvSpPr>
            <xdr:cNvPr id="6372" name="Check Box 228" hidden="1">
              <a:extLst>
                <a:ext uri="{63B3BB69-23CF-44E3-9099-C40C66FF867C}">
                  <a14:compatExt spid="_x0000_s6372"/>
                </a:ext>
                <a:ext uri="{FF2B5EF4-FFF2-40B4-BE49-F238E27FC236}">
                  <a16:creationId xmlns:a16="http://schemas.microsoft.com/office/drawing/2014/main" id="{00000000-0008-0000-0400-0000E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78</xdr:row>
          <xdr:rowOff>0</xdr:rowOff>
        </xdr:from>
        <xdr:to>
          <xdr:col>8</xdr:col>
          <xdr:colOff>790575</xdr:colOff>
          <xdr:row>79</xdr:row>
          <xdr:rowOff>0</xdr:rowOff>
        </xdr:to>
        <xdr:sp macro="" textlink="">
          <xdr:nvSpPr>
            <xdr:cNvPr id="6373" name="Check Box 229" hidden="1">
              <a:extLst>
                <a:ext uri="{63B3BB69-23CF-44E3-9099-C40C66FF867C}">
                  <a14:compatExt spid="_x0000_s6373"/>
                </a:ext>
                <a:ext uri="{FF2B5EF4-FFF2-40B4-BE49-F238E27FC236}">
                  <a16:creationId xmlns:a16="http://schemas.microsoft.com/office/drawing/2014/main" id="{00000000-0008-0000-0400-0000E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78</xdr:row>
          <xdr:rowOff>0</xdr:rowOff>
        </xdr:from>
        <xdr:to>
          <xdr:col>9</xdr:col>
          <xdr:colOff>828675</xdr:colOff>
          <xdr:row>79</xdr:row>
          <xdr:rowOff>0</xdr:rowOff>
        </xdr:to>
        <xdr:sp macro="" textlink="">
          <xdr:nvSpPr>
            <xdr:cNvPr id="6374" name="Check Box 230" hidden="1">
              <a:extLst>
                <a:ext uri="{63B3BB69-23CF-44E3-9099-C40C66FF867C}">
                  <a14:compatExt spid="_x0000_s6374"/>
                </a:ext>
                <a:ext uri="{FF2B5EF4-FFF2-40B4-BE49-F238E27FC236}">
                  <a16:creationId xmlns:a16="http://schemas.microsoft.com/office/drawing/2014/main" id="{00000000-0008-0000-0400-0000E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21</xdr:row>
          <xdr:rowOff>0</xdr:rowOff>
        </xdr:from>
        <xdr:to>
          <xdr:col>7</xdr:col>
          <xdr:colOff>809625</xdr:colOff>
          <xdr:row>22</xdr:row>
          <xdr:rowOff>0</xdr:rowOff>
        </xdr:to>
        <xdr:sp macro="" textlink="">
          <xdr:nvSpPr>
            <xdr:cNvPr id="6376" name="Check Box 232" hidden="1">
              <a:extLst>
                <a:ext uri="{63B3BB69-23CF-44E3-9099-C40C66FF867C}">
                  <a14:compatExt spid="_x0000_s6376"/>
                </a:ext>
                <a:ext uri="{FF2B5EF4-FFF2-40B4-BE49-F238E27FC236}">
                  <a16:creationId xmlns:a16="http://schemas.microsoft.com/office/drawing/2014/main" id="{00000000-0008-0000-0400-0000E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21</xdr:row>
          <xdr:rowOff>0</xdr:rowOff>
        </xdr:from>
        <xdr:to>
          <xdr:col>8</xdr:col>
          <xdr:colOff>790575</xdr:colOff>
          <xdr:row>22</xdr:row>
          <xdr:rowOff>0</xdr:rowOff>
        </xdr:to>
        <xdr:sp macro="" textlink="">
          <xdr:nvSpPr>
            <xdr:cNvPr id="6377" name="Check Box 233" hidden="1">
              <a:extLst>
                <a:ext uri="{63B3BB69-23CF-44E3-9099-C40C66FF867C}">
                  <a14:compatExt spid="_x0000_s6377"/>
                </a:ext>
                <a:ext uri="{FF2B5EF4-FFF2-40B4-BE49-F238E27FC236}">
                  <a16:creationId xmlns:a16="http://schemas.microsoft.com/office/drawing/2014/main" id="{00000000-0008-0000-0400-0000E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21</xdr:row>
          <xdr:rowOff>0</xdr:rowOff>
        </xdr:from>
        <xdr:to>
          <xdr:col>9</xdr:col>
          <xdr:colOff>828675</xdr:colOff>
          <xdr:row>22</xdr:row>
          <xdr:rowOff>0</xdr:rowOff>
        </xdr:to>
        <xdr:sp macro="" textlink="">
          <xdr:nvSpPr>
            <xdr:cNvPr id="6378" name="Check Box 234" hidden="1">
              <a:extLst>
                <a:ext uri="{63B3BB69-23CF-44E3-9099-C40C66FF867C}">
                  <a14:compatExt spid="_x0000_s6378"/>
                </a:ext>
                <a:ext uri="{FF2B5EF4-FFF2-40B4-BE49-F238E27FC236}">
                  <a16:creationId xmlns:a16="http://schemas.microsoft.com/office/drawing/2014/main" id="{00000000-0008-0000-0400-0000E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57</xdr:row>
          <xdr:rowOff>0</xdr:rowOff>
        </xdr:from>
        <xdr:to>
          <xdr:col>7</xdr:col>
          <xdr:colOff>809625</xdr:colOff>
          <xdr:row>58</xdr:row>
          <xdr:rowOff>0</xdr:rowOff>
        </xdr:to>
        <xdr:sp macro="" textlink="">
          <xdr:nvSpPr>
            <xdr:cNvPr id="6380" name="Check Box 236" hidden="1">
              <a:extLst>
                <a:ext uri="{63B3BB69-23CF-44E3-9099-C40C66FF867C}">
                  <a14:compatExt spid="_x0000_s6380"/>
                </a:ext>
                <a:ext uri="{FF2B5EF4-FFF2-40B4-BE49-F238E27FC236}">
                  <a16:creationId xmlns:a16="http://schemas.microsoft.com/office/drawing/2014/main" id="{00000000-0008-0000-0400-0000E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57</xdr:row>
          <xdr:rowOff>0</xdr:rowOff>
        </xdr:from>
        <xdr:to>
          <xdr:col>8</xdr:col>
          <xdr:colOff>790575</xdr:colOff>
          <xdr:row>58</xdr:row>
          <xdr:rowOff>0</xdr:rowOff>
        </xdr:to>
        <xdr:sp macro="" textlink="">
          <xdr:nvSpPr>
            <xdr:cNvPr id="6381" name="Check Box 237" hidden="1">
              <a:extLst>
                <a:ext uri="{63B3BB69-23CF-44E3-9099-C40C66FF867C}">
                  <a14:compatExt spid="_x0000_s6381"/>
                </a:ext>
                <a:ext uri="{FF2B5EF4-FFF2-40B4-BE49-F238E27FC236}">
                  <a16:creationId xmlns:a16="http://schemas.microsoft.com/office/drawing/2014/main" id="{00000000-0008-0000-0400-0000E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57</xdr:row>
          <xdr:rowOff>0</xdr:rowOff>
        </xdr:from>
        <xdr:to>
          <xdr:col>9</xdr:col>
          <xdr:colOff>828675</xdr:colOff>
          <xdr:row>58</xdr:row>
          <xdr:rowOff>0</xdr:rowOff>
        </xdr:to>
        <xdr:sp macro="" textlink="">
          <xdr:nvSpPr>
            <xdr:cNvPr id="6382" name="Check Box 238" hidden="1">
              <a:extLst>
                <a:ext uri="{63B3BB69-23CF-44E3-9099-C40C66FF867C}">
                  <a14:compatExt spid="_x0000_s6382"/>
                </a:ext>
                <a:ext uri="{FF2B5EF4-FFF2-40B4-BE49-F238E27FC236}">
                  <a16:creationId xmlns:a16="http://schemas.microsoft.com/office/drawing/2014/main" id="{00000000-0008-0000-0400-0000E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22</xdr:row>
          <xdr:rowOff>0</xdr:rowOff>
        </xdr:from>
        <xdr:to>
          <xdr:col>7</xdr:col>
          <xdr:colOff>809625</xdr:colOff>
          <xdr:row>23</xdr:row>
          <xdr:rowOff>0</xdr:rowOff>
        </xdr:to>
        <xdr:sp macro="" textlink="">
          <xdr:nvSpPr>
            <xdr:cNvPr id="6384" name="Check Box 240" hidden="1">
              <a:extLst>
                <a:ext uri="{63B3BB69-23CF-44E3-9099-C40C66FF867C}">
                  <a14:compatExt spid="_x0000_s6384"/>
                </a:ext>
                <a:ext uri="{FF2B5EF4-FFF2-40B4-BE49-F238E27FC236}">
                  <a16:creationId xmlns:a16="http://schemas.microsoft.com/office/drawing/2014/main" id="{00000000-0008-0000-0400-0000F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22</xdr:row>
          <xdr:rowOff>0</xdr:rowOff>
        </xdr:from>
        <xdr:to>
          <xdr:col>8</xdr:col>
          <xdr:colOff>790575</xdr:colOff>
          <xdr:row>23</xdr:row>
          <xdr:rowOff>0</xdr:rowOff>
        </xdr:to>
        <xdr:sp macro="" textlink="">
          <xdr:nvSpPr>
            <xdr:cNvPr id="6385" name="Check Box 241" hidden="1">
              <a:extLst>
                <a:ext uri="{63B3BB69-23CF-44E3-9099-C40C66FF867C}">
                  <a14:compatExt spid="_x0000_s6385"/>
                </a:ext>
                <a:ext uri="{FF2B5EF4-FFF2-40B4-BE49-F238E27FC236}">
                  <a16:creationId xmlns:a16="http://schemas.microsoft.com/office/drawing/2014/main" id="{00000000-0008-0000-0400-0000F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22</xdr:row>
          <xdr:rowOff>0</xdr:rowOff>
        </xdr:from>
        <xdr:to>
          <xdr:col>9</xdr:col>
          <xdr:colOff>828675</xdr:colOff>
          <xdr:row>23</xdr:row>
          <xdr:rowOff>0</xdr:rowOff>
        </xdr:to>
        <xdr:sp macro="" textlink="">
          <xdr:nvSpPr>
            <xdr:cNvPr id="6386" name="Check Box 242" hidden="1">
              <a:extLst>
                <a:ext uri="{63B3BB69-23CF-44E3-9099-C40C66FF867C}">
                  <a14:compatExt spid="_x0000_s6386"/>
                </a:ext>
                <a:ext uri="{FF2B5EF4-FFF2-40B4-BE49-F238E27FC236}">
                  <a16:creationId xmlns:a16="http://schemas.microsoft.com/office/drawing/2014/main" id="{00000000-0008-0000-0400-0000F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23</xdr:row>
          <xdr:rowOff>0</xdr:rowOff>
        </xdr:from>
        <xdr:to>
          <xdr:col>7</xdr:col>
          <xdr:colOff>809625</xdr:colOff>
          <xdr:row>24</xdr:row>
          <xdr:rowOff>0</xdr:rowOff>
        </xdr:to>
        <xdr:sp macro="" textlink="">
          <xdr:nvSpPr>
            <xdr:cNvPr id="6388" name="Check Box 244" hidden="1">
              <a:extLst>
                <a:ext uri="{63B3BB69-23CF-44E3-9099-C40C66FF867C}">
                  <a14:compatExt spid="_x0000_s6388"/>
                </a:ext>
                <a:ext uri="{FF2B5EF4-FFF2-40B4-BE49-F238E27FC236}">
                  <a16:creationId xmlns:a16="http://schemas.microsoft.com/office/drawing/2014/main" id="{00000000-0008-0000-0400-0000F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23</xdr:row>
          <xdr:rowOff>0</xdr:rowOff>
        </xdr:from>
        <xdr:to>
          <xdr:col>8</xdr:col>
          <xdr:colOff>790575</xdr:colOff>
          <xdr:row>24</xdr:row>
          <xdr:rowOff>0</xdr:rowOff>
        </xdr:to>
        <xdr:sp macro="" textlink="">
          <xdr:nvSpPr>
            <xdr:cNvPr id="6389" name="Check Box 245" hidden="1">
              <a:extLst>
                <a:ext uri="{63B3BB69-23CF-44E3-9099-C40C66FF867C}">
                  <a14:compatExt spid="_x0000_s6389"/>
                </a:ext>
                <a:ext uri="{FF2B5EF4-FFF2-40B4-BE49-F238E27FC236}">
                  <a16:creationId xmlns:a16="http://schemas.microsoft.com/office/drawing/2014/main" id="{00000000-0008-0000-0400-0000F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23</xdr:row>
          <xdr:rowOff>0</xdr:rowOff>
        </xdr:from>
        <xdr:to>
          <xdr:col>9</xdr:col>
          <xdr:colOff>828675</xdr:colOff>
          <xdr:row>24</xdr:row>
          <xdr:rowOff>0</xdr:rowOff>
        </xdr:to>
        <xdr:sp macro="" textlink="">
          <xdr:nvSpPr>
            <xdr:cNvPr id="6390" name="Check Box 246" hidden="1">
              <a:extLst>
                <a:ext uri="{63B3BB69-23CF-44E3-9099-C40C66FF867C}">
                  <a14:compatExt spid="_x0000_s6390"/>
                </a:ext>
                <a:ext uri="{FF2B5EF4-FFF2-40B4-BE49-F238E27FC236}">
                  <a16:creationId xmlns:a16="http://schemas.microsoft.com/office/drawing/2014/main" id="{00000000-0008-0000-0400-0000F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58</xdr:row>
          <xdr:rowOff>0</xdr:rowOff>
        </xdr:from>
        <xdr:to>
          <xdr:col>7</xdr:col>
          <xdr:colOff>809625</xdr:colOff>
          <xdr:row>59</xdr:row>
          <xdr:rowOff>0</xdr:rowOff>
        </xdr:to>
        <xdr:sp macro="" textlink="">
          <xdr:nvSpPr>
            <xdr:cNvPr id="6392" name="Check Box 248" hidden="1">
              <a:extLst>
                <a:ext uri="{63B3BB69-23CF-44E3-9099-C40C66FF867C}">
                  <a14:compatExt spid="_x0000_s6392"/>
                </a:ext>
                <a:ext uri="{FF2B5EF4-FFF2-40B4-BE49-F238E27FC236}">
                  <a16:creationId xmlns:a16="http://schemas.microsoft.com/office/drawing/2014/main" id="{00000000-0008-0000-0400-0000F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58</xdr:row>
          <xdr:rowOff>0</xdr:rowOff>
        </xdr:from>
        <xdr:to>
          <xdr:col>8</xdr:col>
          <xdr:colOff>790575</xdr:colOff>
          <xdr:row>59</xdr:row>
          <xdr:rowOff>0</xdr:rowOff>
        </xdr:to>
        <xdr:sp macro="" textlink="">
          <xdr:nvSpPr>
            <xdr:cNvPr id="6393" name="Check Box 249" hidden="1">
              <a:extLst>
                <a:ext uri="{63B3BB69-23CF-44E3-9099-C40C66FF867C}">
                  <a14:compatExt spid="_x0000_s6393"/>
                </a:ext>
                <a:ext uri="{FF2B5EF4-FFF2-40B4-BE49-F238E27FC236}">
                  <a16:creationId xmlns:a16="http://schemas.microsoft.com/office/drawing/2014/main" id="{00000000-0008-0000-0400-0000F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58</xdr:row>
          <xdr:rowOff>0</xdr:rowOff>
        </xdr:from>
        <xdr:to>
          <xdr:col>9</xdr:col>
          <xdr:colOff>828675</xdr:colOff>
          <xdr:row>59</xdr:row>
          <xdr:rowOff>0</xdr:rowOff>
        </xdr:to>
        <xdr:sp macro="" textlink="">
          <xdr:nvSpPr>
            <xdr:cNvPr id="6394" name="Check Box 250" hidden="1">
              <a:extLst>
                <a:ext uri="{63B3BB69-23CF-44E3-9099-C40C66FF867C}">
                  <a14:compatExt spid="_x0000_s6394"/>
                </a:ext>
                <a:ext uri="{FF2B5EF4-FFF2-40B4-BE49-F238E27FC236}">
                  <a16:creationId xmlns:a16="http://schemas.microsoft.com/office/drawing/2014/main" id="{00000000-0008-0000-0400-0000F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79</xdr:row>
          <xdr:rowOff>0</xdr:rowOff>
        </xdr:from>
        <xdr:to>
          <xdr:col>7</xdr:col>
          <xdr:colOff>809625</xdr:colOff>
          <xdr:row>80</xdr:row>
          <xdr:rowOff>0</xdr:rowOff>
        </xdr:to>
        <xdr:sp macro="" textlink="">
          <xdr:nvSpPr>
            <xdr:cNvPr id="6396" name="Check Box 252" hidden="1">
              <a:extLst>
                <a:ext uri="{63B3BB69-23CF-44E3-9099-C40C66FF867C}">
                  <a14:compatExt spid="_x0000_s6396"/>
                </a:ext>
                <a:ext uri="{FF2B5EF4-FFF2-40B4-BE49-F238E27FC236}">
                  <a16:creationId xmlns:a16="http://schemas.microsoft.com/office/drawing/2014/main" id="{00000000-0008-0000-0400-0000F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79</xdr:row>
          <xdr:rowOff>0</xdr:rowOff>
        </xdr:from>
        <xdr:to>
          <xdr:col>8</xdr:col>
          <xdr:colOff>790575</xdr:colOff>
          <xdr:row>80</xdr:row>
          <xdr:rowOff>0</xdr:rowOff>
        </xdr:to>
        <xdr:sp macro="" textlink="">
          <xdr:nvSpPr>
            <xdr:cNvPr id="6397" name="Check Box 253" hidden="1">
              <a:extLst>
                <a:ext uri="{63B3BB69-23CF-44E3-9099-C40C66FF867C}">
                  <a14:compatExt spid="_x0000_s6397"/>
                </a:ext>
                <a:ext uri="{FF2B5EF4-FFF2-40B4-BE49-F238E27FC236}">
                  <a16:creationId xmlns:a16="http://schemas.microsoft.com/office/drawing/2014/main" id="{00000000-0008-0000-0400-0000F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79</xdr:row>
          <xdr:rowOff>0</xdr:rowOff>
        </xdr:from>
        <xdr:to>
          <xdr:col>9</xdr:col>
          <xdr:colOff>828675</xdr:colOff>
          <xdr:row>80</xdr:row>
          <xdr:rowOff>0</xdr:rowOff>
        </xdr:to>
        <xdr:sp macro="" textlink="">
          <xdr:nvSpPr>
            <xdr:cNvPr id="6398" name="Check Box 254" hidden="1">
              <a:extLst>
                <a:ext uri="{63B3BB69-23CF-44E3-9099-C40C66FF867C}">
                  <a14:compatExt spid="_x0000_s6398"/>
                </a:ext>
                <a:ext uri="{FF2B5EF4-FFF2-40B4-BE49-F238E27FC236}">
                  <a16:creationId xmlns:a16="http://schemas.microsoft.com/office/drawing/2014/main" id="{00000000-0008-0000-0400-0000F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80</xdr:row>
          <xdr:rowOff>0</xdr:rowOff>
        </xdr:from>
        <xdr:to>
          <xdr:col>7</xdr:col>
          <xdr:colOff>809625</xdr:colOff>
          <xdr:row>81</xdr:row>
          <xdr:rowOff>0</xdr:rowOff>
        </xdr:to>
        <xdr:sp macro="" textlink="">
          <xdr:nvSpPr>
            <xdr:cNvPr id="6400" name="Check Box 256" hidden="1">
              <a:extLst>
                <a:ext uri="{63B3BB69-23CF-44E3-9099-C40C66FF867C}">
                  <a14:compatExt spid="_x0000_s6400"/>
                </a:ext>
                <a:ext uri="{FF2B5EF4-FFF2-40B4-BE49-F238E27FC236}">
                  <a16:creationId xmlns:a16="http://schemas.microsoft.com/office/drawing/2014/main" id="{00000000-0008-0000-0400-000000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80</xdr:row>
          <xdr:rowOff>0</xdr:rowOff>
        </xdr:from>
        <xdr:to>
          <xdr:col>8</xdr:col>
          <xdr:colOff>790575</xdr:colOff>
          <xdr:row>81</xdr:row>
          <xdr:rowOff>0</xdr:rowOff>
        </xdr:to>
        <xdr:sp macro="" textlink="">
          <xdr:nvSpPr>
            <xdr:cNvPr id="6401" name="Check Box 257" hidden="1">
              <a:extLst>
                <a:ext uri="{63B3BB69-23CF-44E3-9099-C40C66FF867C}">
                  <a14:compatExt spid="_x0000_s6401"/>
                </a:ext>
                <a:ext uri="{FF2B5EF4-FFF2-40B4-BE49-F238E27FC236}">
                  <a16:creationId xmlns:a16="http://schemas.microsoft.com/office/drawing/2014/main" id="{00000000-0008-0000-0400-000001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80</xdr:row>
          <xdr:rowOff>0</xdr:rowOff>
        </xdr:from>
        <xdr:to>
          <xdr:col>9</xdr:col>
          <xdr:colOff>828675</xdr:colOff>
          <xdr:row>81</xdr:row>
          <xdr:rowOff>0</xdr:rowOff>
        </xdr:to>
        <xdr:sp macro="" textlink="">
          <xdr:nvSpPr>
            <xdr:cNvPr id="6402" name="Check Box 258" hidden="1">
              <a:extLst>
                <a:ext uri="{63B3BB69-23CF-44E3-9099-C40C66FF867C}">
                  <a14:compatExt spid="_x0000_s6402"/>
                </a:ext>
                <a:ext uri="{FF2B5EF4-FFF2-40B4-BE49-F238E27FC236}">
                  <a16:creationId xmlns:a16="http://schemas.microsoft.com/office/drawing/2014/main" id="{00000000-0008-0000-0400-000002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81</xdr:row>
          <xdr:rowOff>0</xdr:rowOff>
        </xdr:from>
        <xdr:to>
          <xdr:col>7</xdr:col>
          <xdr:colOff>809625</xdr:colOff>
          <xdr:row>82</xdr:row>
          <xdr:rowOff>0</xdr:rowOff>
        </xdr:to>
        <xdr:sp macro="" textlink="">
          <xdr:nvSpPr>
            <xdr:cNvPr id="6404" name="Check Box 260" hidden="1">
              <a:extLst>
                <a:ext uri="{63B3BB69-23CF-44E3-9099-C40C66FF867C}">
                  <a14:compatExt spid="_x0000_s6404"/>
                </a:ext>
                <a:ext uri="{FF2B5EF4-FFF2-40B4-BE49-F238E27FC236}">
                  <a16:creationId xmlns:a16="http://schemas.microsoft.com/office/drawing/2014/main" id="{00000000-0008-0000-0400-000004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81</xdr:row>
          <xdr:rowOff>0</xdr:rowOff>
        </xdr:from>
        <xdr:to>
          <xdr:col>8</xdr:col>
          <xdr:colOff>790575</xdr:colOff>
          <xdr:row>82</xdr:row>
          <xdr:rowOff>0</xdr:rowOff>
        </xdr:to>
        <xdr:sp macro="" textlink="">
          <xdr:nvSpPr>
            <xdr:cNvPr id="6405" name="Check Box 261" hidden="1">
              <a:extLst>
                <a:ext uri="{63B3BB69-23CF-44E3-9099-C40C66FF867C}">
                  <a14:compatExt spid="_x0000_s6405"/>
                </a:ext>
                <a:ext uri="{FF2B5EF4-FFF2-40B4-BE49-F238E27FC236}">
                  <a16:creationId xmlns:a16="http://schemas.microsoft.com/office/drawing/2014/main" id="{00000000-0008-0000-0400-000005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81</xdr:row>
          <xdr:rowOff>0</xdr:rowOff>
        </xdr:from>
        <xdr:to>
          <xdr:col>9</xdr:col>
          <xdr:colOff>828675</xdr:colOff>
          <xdr:row>82</xdr:row>
          <xdr:rowOff>0</xdr:rowOff>
        </xdr:to>
        <xdr:sp macro="" textlink="">
          <xdr:nvSpPr>
            <xdr:cNvPr id="6406" name="Check Box 262" hidden="1">
              <a:extLst>
                <a:ext uri="{63B3BB69-23CF-44E3-9099-C40C66FF867C}">
                  <a14:compatExt spid="_x0000_s6406"/>
                </a:ext>
                <a:ext uri="{FF2B5EF4-FFF2-40B4-BE49-F238E27FC236}">
                  <a16:creationId xmlns:a16="http://schemas.microsoft.com/office/drawing/2014/main" id="{00000000-0008-0000-0400-000006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59</xdr:row>
          <xdr:rowOff>0</xdr:rowOff>
        </xdr:from>
        <xdr:to>
          <xdr:col>7</xdr:col>
          <xdr:colOff>809625</xdr:colOff>
          <xdr:row>60</xdr:row>
          <xdr:rowOff>0</xdr:rowOff>
        </xdr:to>
        <xdr:sp macro="" textlink="">
          <xdr:nvSpPr>
            <xdr:cNvPr id="6408" name="Check Box 264" hidden="1">
              <a:extLst>
                <a:ext uri="{63B3BB69-23CF-44E3-9099-C40C66FF867C}">
                  <a14:compatExt spid="_x0000_s6408"/>
                </a:ext>
                <a:ext uri="{FF2B5EF4-FFF2-40B4-BE49-F238E27FC236}">
                  <a16:creationId xmlns:a16="http://schemas.microsoft.com/office/drawing/2014/main" id="{00000000-0008-0000-0400-000008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59</xdr:row>
          <xdr:rowOff>0</xdr:rowOff>
        </xdr:from>
        <xdr:to>
          <xdr:col>8</xdr:col>
          <xdr:colOff>790575</xdr:colOff>
          <xdr:row>60</xdr:row>
          <xdr:rowOff>0</xdr:rowOff>
        </xdr:to>
        <xdr:sp macro="" textlink="">
          <xdr:nvSpPr>
            <xdr:cNvPr id="6409" name="Check Box 265" hidden="1">
              <a:extLst>
                <a:ext uri="{63B3BB69-23CF-44E3-9099-C40C66FF867C}">
                  <a14:compatExt spid="_x0000_s6409"/>
                </a:ext>
                <a:ext uri="{FF2B5EF4-FFF2-40B4-BE49-F238E27FC236}">
                  <a16:creationId xmlns:a16="http://schemas.microsoft.com/office/drawing/2014/main" id="{00000000-0008-0000-0400-000009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59</xdr:row>
          <xdr:rowOff>0</xdr:rowOff>
        </xdr:from>
        <xdr:to>
          <xdr:col>9</xdr:col>
          <xdr:colOff>828675</xdr:colOff>
          <xdr:row>60</xdr:row>
          <xdr:rowOff>0</xdr:rowOff>
        </xdr:to>
        <xdr:sp macro="" textlink="">
          <xdr:nvSpPr>
            <xdr:cNvPr id="6410" name="Check Box 266" hidden="1">
              <a:extLst>
                <a:ext uri="{63B3BB69-23CF-44E3-9099-C40C66FF867C}">
                  <a14:compatExt spid="_x0000_s6410"/>
                </a:ext>
                <a:ext uri="{FF2B5EF4-FFF2-40B4-BE49-F238E27FC236}">
                  <a16:creationId xmlns:a16="http://schemas.microsoft.com/office/drawing/2014/main" id="{00000000-0008-0000-0400-00000A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82</xdr:row>
          <xdr:rowOff>0</xdr:rowOff>
        </xdr:from>
        <xdr:to>
          <xdr:col>7</xdr:col>
          <xdr:colOff>809625</xdr:colOff>
          <xdr:row>83</xdr:row>
          <xdr:rowOff>0</xdr:rowOff>
        </xdr:to>
        <xdr:sp macro="" textlink="">
          <xdr:nvSpPr>
            <xdr:cNvPr id="6412" name="Check Box 268" hidden="1">
              <a:extLst>
                <a:ext uri="{63B3BB69-23CF-44E3-9099-C40C66FF867C}">
                  <a14:compatExt spid="_x0000_s6412"/>
                </a:ext>
                <a:ext uri="{FF2B5EF4-FFF2-40B4-BE49-F238E27FC236}">
                  <a16:creationId xmlns:a16="http://schemas.microsoft.com/office/drawing/2014/main" id="{00000000-0008-0000-0400-00000C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82</xdr:row>
          <xdr:rowOff>0</xdr:rowOff>
        </xdr:from>
        <xdr:to>
          <xdr:col>8</xdr:col>
          <xdr:colOff>790575</xdr:colOff>
          <xdr:row>83</xdr:row>
          <xdr:rowOff>0</xdr:rowOff>
        </xdr:to>
        <xdr:sp macro="" textlink="">
          <xdr:nvSpPr>
            <xdr:cNvPr id="6413" name="Check Box 269" hidden="1">
              <a:extLst>
                <a:ext uri="{63B3BB69-23CF-44E3-9099-C40C66FF867C}">
                  <a14:compatExt spid="_x0000_s6413"/>
                </a:ext>
                <a:ext uri="{FF2B5EF4-FFF2-40B4-BE49-F238E27FC236}">
                  <a16:creationId xmlns:a16="http://schemas.microsoft.com/office/drawing/2014/main" id="{00000000-0008-0000-0400-00000D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82</xdr:row>
          <xdr:rowOff>0</xdr:rowOff>
        </xdr:from>
        <xdr:to>
          <xdr:col>9</xdr:col>
          <xdr:colOff>828675</xdr:colOff>
          <xdr:row>83</xdr:row>
          <xdr:rowOff>0</xdr:rowOff>
        </xdr:to>
        <xdr:sp macro="" textlink="">
          <xdr:nvSpPr>
            <xdr:cNvPr id="6414" name="Check Box 270" hidden="1">
              <a:extLst>
                <a:ext uri="{63B3BB69-23CF-44E3-9099-C40C66FF867C}">
                  <a14:compatExt spid="_x0000_s6414"/>
                </a:ext>
                <a:ext uri="{FF2B5EF4-FFF2-40B4-BE49-F238E27FC236}">
                  <a16:creationId xmlns:a16="http://schemas.microsoft.com/office/drawing/2014/main" id="{00000000-0008-0000-0400-00000E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60</xdr:row>
          <xdr:rowOff>0</xdr:rowOff>
        </xdr:from>
        <xdr:to>
          <xdr:col>7</xdr:col>
          <xdr:colOff>809625</xdr:colOff>
          <xdr:row>61</xdr:row>
          <xdr:rowOff>0</xdr:rowOff>
        </xdr:to>
        <xdr:sp macro="" textlink="">
          <xdr:nvSpPr>
            <xdr:cNvPr id="6416" name="Check Box 272" hidden="1">
              <a:extLst>
                <a:ext uri="{63B3BB69-23CF-44E3-9099-C40C66FF867C}">
                  <a14:compatExt spid="_x0000_s6416"/>
                </a:ext>
                <a:ext uri="{FF2B5EF4-FFF2-40B4-BE49-F238E27FC236}">
                  <a16:creationId xmlns:a16="http://schemas.microsoft.com/office/drawing/2014/main" id="{00000000-0008-0000-0400-000010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60</xdr:row>
          <xdr:rowOff>0</xdr:rowOff>
        </xdr:from>
        <xdr:to>
          <xdr:col>8</xdr:col>
          <xdr:colOff>790575</xdr:colOff>
          <xdr:row>61</xdr:row>
          <xdr:rowOff>0</xdr:rowOff>
        </xdr:to>
        <xdr:sp macro="" textlink="">
          <xdr:nvSpPr>
            <xdr:cNvPr id="6417" name="Check Box 273" hidden="1">
              <a:extLst>
                <a:ext uri="{63B3BB69-23CF-44E3-9099-C40C66FF867C}">
                  <a14:compatExt spid="_x0000_s6417"/>
                </a:ext>
                <a:ext uri="{FF2B5EF4-FFF2-40B4-BE49-F238E27FC236}">
                  <a16:creationId xmlns:a16="http://schemas.microsoft.com/office/drawing/2014/main" id="{00000000-0008-0000-0400-000011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60</xdr:row>
          <xdr:rowOff>0</xdr:rowOff>
        </xdr:from>
        <xdr:to>
          <xdr:col>9</xdr:col>
          <xdr:colOff>828675</xdr:colOff>
          <xdr:row>61</xdr:row>
          <xdr:rowOff>0</xdr:rowOff>
        </xdr:to>
        <xdr:sp macro="" textlink="">
          <xdr:nvSpPr>
            <xdr:cNvPr id="6418" name="Check Box 274" hidden="1">
              <a:extLst>
                <a:ext uri="{63B3BB69-23CF-44E3-9099-C40C66FF867C}">
                  <a14:compatExt spid="_x0000_s6418"/>
                </a:ext>
                <a:ext uri="{FF2B5EF4-FFF2-40B4-BE49-F238E27FC236}">
                  <a16:creationId xmlns:a16="http://schemas.microsoft.com/office/drawing/2014/main" id="{00000000-0008-0000-0400-000012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61</xdr:row>
          <xdr:rowOff>0</xdr:rowOff>
        </xdr:from>
        <xdr:to>
          <xdr:col>7</xdr:col>
          <xdr:colOff>809625</xdr:colOff>
          <xdr:row>62</xdr:row>
          <xdr:rowOff>0</xdr:rowOff>
        </xdr:to>
        <xdr:sp macro="" textlink="">
          <xdr:nvSpPr>
            <xdr:cNvPr id="6420" name="Check Box 276" hidden="1">
              <a:extLst>
                <a:ext uri="{63B3BB69-23CF-44E3-9099-C40C66FF867C}">
                  <a14:compatExt spid="_x0000_s6420"/>
                </a:ext>
                <a:ext uri="{FF2B5EF4-FFF2-40B4-BE49-F238E27FC236}">
                  <a16:creationId xmlns:a16="http://schemas.microsoft.com/office/drawing/2014/main" id="{00000000-0008-0000-0400-000014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61</xdr:row>
          <xdr:rowOff>0</xdr:rowOff>
        </xdr:from>
        <xdr:to>
          <xdr:col>8</xdr:col>
          <xdr:colOff>790575</xdr:colOff>
          <xdr:row>62</xdr:row>
          <xdr:rowOff>0</xdr:rowOff>
        </xdr:to>
        <xdr:sp macro="" textlink="">
          <xdr:nvSpPr>
            <xdr:cNvPr id="6421" name="Check Box 277" hidden="1">
              <a:extLst>
                <a:ext uri="{63B3BB69-23CF-44E3-9099-C40C66FF867C}">
                  <a14:compatExt spid="_x0000_s6421"/>
                </a:ext>
                <a:ext uri="{FF2B5EF4-FFF2-40B4-BE49-F238E27FC236}">
                  <a16:creationId xmlns:a16="http://schemas.microsoft.com/office/drawing/2014/main" id="{00000000-0008-0000-0400-000015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61</xdr:row>
          <xdr:rowOff>0</xdr:rowOff>
        </xdr:from>
        <xdr:to>
          <xdr:col>9</xdr:col>
          <xdr:colOff>828675</xdr:colOff>
          <xdr:row>62</xdr:row>
          <xdr:rowOff>0</xdr:rowOff>
        </xdr:to>
        <xdr:sp macro="" textlink="">
          <xdr:nvSpPr>
            <xdr:cNvPr id="6422" name="Check Box 278" hidden="1">
              <a:extLst>
                <a:ext uri="{63B3BB69-23CF-44E3-9099-C40C66FF867C}">
                  <a14:compatExt spid="_x0000_s6422"/>
                </a:ext>
                <a:ext uri="{FF2B5EF4-FFF2-40B4-BE49-F238E27FC236}">
                  <a16:creationId xmlns:a16="http://schemas.microsoft.com/office/drawing/2014/main" id="{00000000-0008-0000-0400-000016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62</xdr:row>
          <xdr:rowOff>0</xdr:rowOff>
        </xdr:from>
        <xdr:to>
          <xdr:col>7</xdr:col>
          <xdr:colOff>809625</xdr:colOff>
          <xdr:row>63</xdr:row>
          <xdr:rowOff>0</xdr:rowOff>
        </xdr:to>
        <xdr:sp macro="" textlink="">
          <xdr:nvSpPr>
            <xdr:cNvPr id="6424" name="Check Box 280" hidden="1">
              <a:extLst>
                <a:ext uri="{63B3BB69-23CF-44E3-9099-C40C66FF867C}">
                  <a14:compatExt spid="_x0000_s6424"/>
                </a:ext>
                <a:ext uri="{FF2B5EF4-FFF2-40B4-BE49-F238E27FC236}">
                  <a16:creationId xmlns:a16="http://schemas.microsoft.com/office/drawing/2014/main" id="{00000000-0008-0000-0400-000018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62</xdr:row>
          <xdr:rowOff>0</xdr:rowOff>
        </xdr:from>
        <xdr:to>
          <xdr:col>8</xdr:col>
          <xdr:colOff>790575</xdr:colOff>
          <xdr:row>63</xdr:row>
          <xdr:rowOff>0</xdr:rowOff>
        </xdr:to>
        <xdr:sp macro="" textlink="">
          <xdr:nvSpPr>
            <xdr:cNvPr id="6425" name="Check Box 281" hidden="1">
              <a:extLst>
                <a:ext uri="{63B3BB69-23CF-44E3-9099-C40C66FF867C}">
                  <a14:compatExt spid="_x0000_s6425"/>
                </a:ext>
                <a:ext uri="{FF2B5EF4-FFF2-40B4-BE49-F238E27FC236}">
                  <a16:creationId xmlns:a16="http://schemas.microsoft.com/office/drawing/2014/main" id="{00000000-0008-0000-0400-000019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62</xdr:row>
          <xdr:rowOff>0</xdr:rowOff>
        </xdr:from>
        <xdr:to>
          <xdr:col>9</xdr:col>
          <xdr:colOff>828675</xdr:colOff>
          <xdr:row>63</xdr:row>
          <xdr:rowOff>0</xdr:rowOff>
        </xdr:to>
        <xdr:sp macro="" textlink="">
          <xdr:nvSpPr>
            <xdr:cNvPr id="6426" name="Check Box 282" hidden="1">
              <a:extLst>
                <a:ext uri="{63B3BB69-23CF-44E3-9099-C40C66FF867C}">
                  <a14:compatExt spid="_x0000_s6426"/>
                </a:ext>
                <a:ext uri="{FF2B5EF4-FFF2-40B4-BE49-F238E27FC236}">
                  <a16:creationId xmlns:a16="http://schemas.microsoft.com/office/drawing/2014/main" id="{00000000-0008-0000-0400-00001A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83</xdr:row>
          <xdr:rowOff>0</xdr:rowOff>
        </xdr:from>
        <xdr:to>
          <xdr:col>7</xdr:col>
          <xdr:colOff>809625</xdr:colOff>
          <xdr:row>84</xdr:row>
          <xdr:rowOff>0</xdr:rowOff>
        </xdr:to>
        <xdr:sp macro="" textlink="">
          <xdr:nvSpPr>
            <xdr:cNvPr id="6428" name="Check Box 284" hidden="1">
              <a:extLst>
                <a:ext uri="{63B3BB69-23CF-44E3-9099-C40C66FF867C}">
                  <a14:compatExt spid="_x0000_s6428"/>
                </a:ext>
                <a:ext uri="{FF2B5EF4-FFF2-40B4-BE49-F238E27FC236}">
                  <a16:creationId xmlns:a16="http://schemas.microsoft.com/office/drawing/2014/main" id="{00000000-0008-0000-0400-00001C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83</xdr:row>
          <xdr:rowOff>0</xdr:rowOff>
        </xdr:from>
        <xdr:to>
          <xdr:col>8</xdr:col>
          <xdr:colOff>790575</xdr:colOff>
          <xdr:row>84</xdr:row>
          <xdr:rowOff>0</xdr:rowOff>
        </xdr:to>
        <xdr:sp macro="" textlink="">
          <xdr:nvSpPr>
            <xdr:cNvPr id="6429" name="Check Box 285" hidden="1">
              <a:extLst>
                <a:ext uri="{63B3BB69-23CF-44E3-9099-C40C66FF867C}">
                  <a14:compatExt spid="_x0000_s6429"/>
                </a:ext>
                <a:ext uri="{FF2B5EF4-FFF2-40B4-BE49-F238E27FC236}">
                  <a16:creationId xmlns:a16="http://schemas.microsoft.com/office/drawing/2014/main" id="{00000000-0008-0000-0400-00001D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83</xdr:row>
          <xdr:rowOff>0</xdr:rowOff>
        </xdr:from>
        <xdr:to>
          <xdr:col>9</xdr:col>
          <xdr:colOff>828675</xdr:colOff>
          <xdr:row>84</xdr:row>
          <xdr:rowOff>0</xdr:rowOff>
        </xdr:to>
        <xdr:sp macro="" textlink="">
          <xdr:nvSpPr>
            <xdr:cNvPr id="6430" name="Check Box 286" hidden="1">
              <a:extLst>
                <a:ext uri="{63B3BB69-23CF-44E3-9099-C40C66FF867C}">
                  <a14:compatExt spid="_x0000_s6430"/>
                </a:ext>
                <a:ext uri="{FF2B5EF4-FFF2-40B4-BE49-F238E27FC236}">
                  <a16:creationId xmlns:a16="http://schemas.microsoft.com/office/drawing/2014/main" id="{00000000-0008-0000-0400-00001E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84</xdr:row>
          <xdr:rowOff>0</xdr:rowOff>
        </xdr:from>
        <xdr:to>
          <xdr:col>7</xdr:col>
          <xdr:colOff>809625</xdr:colOff>
          <xdr:row>85</xdr:row>
          <xdr:rowOff>0</xdr:rowOff>
        </xdr:to>
        <xdr:sp macro="" textlink="">
          <xdr:nvSpPr>
            <xdr:cNvPr id="6432" name="Check Box 288" hidden="1">
              <a:extLst>
                <a:ext uri="{63B3BB69-23CF-44E3-9099-C40C66FF867C}">
                  <a14:compatExt spid="_x0000_s6432"/>
                </a:ext>
                <a:ext uri="{FF2B5EF4-FFF2-40B4-BE49-F238E27FC236}">
                  <a16:creationId xmlns:a16="http://schemas.microsoft.com/office/drawing/2014/main" id="{00000000-0008-0000-0400-000020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84</xdr:row>
          <xdr:rowOff>0</xdr:rowOff>
        </xdr:from>
        <xdr:to>
          <xdr:col>8</xdr:col>
          <xdr:colOff>790575</xdr:colOff>
          <xdr:row>85</xdr:row>
          <xdr:rowOff>0</xdr:rowOff>
        </xdr:to>
        <xdr:sp macro="" textlink="">
          <xdr:nvSpPr>
            <xdr:cNvPr id="6433" name="Check Box 289" hidden="1">
              <a:extLst>
                <a:ext uri="{63B3BB69-23CF-44E3-9099-C40C66FF867C}">
                  <a14:compatExt spid="_x0000_s6433"/>
                </a:ext>
                <a:ext uri="{FF2B5EF4-FFF2-40B4-BE49-F238E27FC236}">
                  <a16:creationId xmlns:a16="http://schemas.microsoft.com/office/drawing/2014/main" id="{00000000-0008-0000-0400-000021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84</xdr:row>
          <xdr:rowOff>0</xdr:rowOff>
        </xdr:from>
        <xdr:to>
          <xdr:col>9</xdr:col>
          <xdr:colOff>828675</xdr:colOff>
          <xdr:row>85</xdr:row>
          <xdr:rowOff>0</xdr:rowOff>
        </xdr:to>
        <xdr:sp macro="" textlink="">
          <xdr:nvSpPr>
            <xdr:cNvPr id="6434" name="Check Box 290" hidden="1">
              <a:extLst>
                <a:ext uri="{63B3BB69-23CF-44E3-9099-C40C66FF867C}">
                  <a14:compatExt spid="_x0000_s6434"/>
                </a:ext>
                <a:ext uri="{FF2B5EF4-FFF2-40B4-BE49-F238E27FC236}">
                  <a16:creationId xmlns:a16="http://schemas.microsoft.com/office/drawing/2014/main" id="{00000000-0008-0000-0400-000022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85</xdr:row>
          <xdr:rowOff>0</xdr:rowOff>
        </xdr:from>
        <xdr:to>
          <xdr:col>7</xdr:col>
          <xdr:colOff>809625</xdr:colOff>
          <xdr:row>86</xdr:row>
          <xdr:rowOff>0</xdr:rowOff>
        </xdr:to>
        <xdr:sp macro="" textlink="">
          <xdr:nvSpPr>
            <xdr:cNvPr id="6436" name="Check Box 292" hidden="1">
              <a:extLst>
                <a:ext uri="{63B3BB69-23CF-44E3-9099-C40C66FF867C}">
                  <a14:compatExt spid="_x0000_s6436"/>
                </a:ext>
                <a:ext uri="{FF2B5EF4-FFF2-40B4-BE49-F238E27FC236}">
                  <a16:creationId xmlns:a16="http://schemas.microsoft.com/office/drawing/2014/main" id="{00000000-0008-0000-0400-000024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85</xdr:row>
          <xdr:rowOff>0</xdr:rowOff>
        </xdr:from>
        <xdr:to>
          <xdr:col>8</xdr:col>
          <xdr:colOff>790575</xdr:colOff>
          <xdr:row>86</xdr:row>
          <xdr:rowOff>0</xdr:rowOff>
        </xdr:to>
        <xdr:sp macro="" textlink="">
          <xdr:nvSpPr>
            <xdr:cNvPr id="6437" name="Check Box 293" hidden="1">
              <a:extLst>
                <a:ext uri="{63B3BB69-23CF-44E3-9099-C40C66FF867C}">
                  <a14:compatExt spid="_x0000_s6437"/>
                </a:ext>
                <a:ext uri="{FF2B5EF4-FFF2-40B4-BE49-F238E27FC236}">
                  <a16:creationId xmlns:a16="http://schemas.microsoft.com/office/drawing/2014/main" id="{00000000-0008-0000-0400-000025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85</xdr:row>
          <xdr:rowOff>0</xdr:rowOff>
        </xdr:from>
        <xdr:to>
          <xdr:col>9</xdr:col>
          <xdr:colOff>828675</xdr:colOff>
          <xdr:row>86</xdr:row>
          <xdr:rowOff>0</xdr:rowOff>
        </xdr:to>
        <xdr:sp macro="" textlink="">
          <xdr:nvSpPr>
            <xdr:cNvPr id="6438" name="Check Box 294" hidden="1">
              <a:extLst>
                <a:ext uri="{63B3BB69-23CF-44E3-9099-C40C66FF867C}">
                  <a14:compatExt spid="_x0000_s6438"/>
                </a:ext>
                <a:ext uri="{FF2B5EF4-FFF2-40B4-BE49-F238E27FC236}">
                  <a16:creationId xmlns:a16="http://schemas.microsoft.com/office/drawing/2014/main" id="{00000000-0008-0000-0400-000026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86</xdr:row>
          <xdr:rowOff>0</xdr:rowOff>
        </xdr:from>
        <xdr:to>
          <xdr:col>7</xdr:col>
          <xdr:colOff>809625</xdr:colOff>
          <xdr:row>87</xdr:row>
          <xdr:rowOff>0</xdr:rowOff>
        </xdr:to>
        <xdr:sp macro="" textlink="">
          <xdr:nvSpPr>
            <xdr:cNvPr id="6440" name="Check Box 296" hidden="1">
              <a:extLst>
                <a:ext uri="{63B3BB69-23CF-44E3-9099-C40C66FF867C}">
                  <a14:compatExt spid="_x0000_s6440"/>
                </a:ext>
                <a:ext uri="{FF2B5EF4-FFF2-40B4-BE49-F238E27FC236}">
                  <a16:creationId xmlns:a16="http://schemas.microsoft.com/office/drawing/2014/main" id="{00000000-0008-0000-0400-000028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86</xdr:row>
          <xdr:rowOff>0</xdr:rowOff>
        </xdr:from>
        <xdr:to>
          <xdr:col>8</xdr:col>
          <xdr:colOff>790575</xdr:colOff>
          <xdr:row>87</xdr:row>
          <xdr:rowOff>0</xdr:rowOff>
        </xdr:to>
        <xdr:sp macro="" textlink="">
          <xdr:nvSpPr>
            <xdr:cNvPr id="6441" name="Check Box 297" hidden="1">
              <a:extLst>
                <a:ext uri="{63B3BB69-23CF-44E3-9099-C40C66FF867C}">
                  <a14:compatExt spid="_x0000_s6441"/>
                </a:ext>
                <a:ext uri="{FF2B5EF4-FFF2-40B4-BE49-F238E27FC236}">
                  <a16:creationId xmlns:a16="http://schemas.microsoft.com/office/drawing/2014/main" id="{00000000-0008-0000-0400-000029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86</xdr:row>
          <xdr:rowOff>0</xdr:rowOff>
        </xdr:from>
        <xdr:to>
          <xdr:col>9</xdr:col>
          <xdr:colOff>828675</xdr:colOff>
          <xdr:row>87</xdr:row>
          <xdr:rowOff>0</xdr:rowOff>
        </xdr:to>
        <xdr:sp macro="" textlink="">
          <xdr:nvSpPr>
            <xdr:cNvPr id="6442" name="Check Box 298" hidden="1">
              <a:extLst>
                <a:ext uri="{63B3BB69-23CF-44E3-9099-C40C66FF867C}">
                  <a14:compatExt spid="_x0000_s6442"/>
                </a:ext>
                <a:ext uri="{FF2B5EF4-FFF2-40B4-BE49-F238E27FC236}">
                  <a16:creationId xmlns:a16="http://schemas.microsoft.com/office/drawing/2014/main" id="{00000000-0008-0000-0400-00002A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24</xdr:row>
          <xdr:rowOff>0</xdr:rowOff>
        </xdr:from>
        <xdr:to>
          <xdr:col>7</xdr:col>
          <xdr:colOff>809625</xdr:colOff>
          <xdr:row>25</xdr:row>
          <xdr:rowOff>0</xdr:rowOff>
        </xdr:to>
        <xdr:sp macro="" textlink="">
          <xdr:nvSpPr>
            <xdr:cNvPr id="6444" name="Check Box 300" hidden="1">
              <a:extLst>
                <a:ext uri="{63B3BB69-23CF-44E3-9099-C40C66FF867C}">
                  <a14:compatExt spid="_x0000_s6444"/>
                </a:ext>
                <a:ext uri="{FF2B5EF4-FFF2-40B4-BE49-F238E27FC236}">
                  <a16:creationId xmlns:a16="http://schemas.microsoft.com/office/drawing/2014/main" id="{00000000-0008-0000-0400-00002C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24</xdr:row>
          <xdr:rowOff>0</xdr:rowOff>
        </xdr:from>
        <xdr:to>
          <xdr:col>8</xdr:col>
          <xdr:colOff>790575</xdr:colOff>
          <xdr:row>25</xdr:row>
          <xdr:rowOff>0</xdr:rowOff>
        </xdr:to>
        <xdr:sp macro="" textlink="">
          <xdr:nvSpPr>
            <xdr:cNvPr id="6445" name="Check Box 301" hidden="1">
              <a:extLst>
                <a:ext uri="{63B3BB69-23CF-44E3-9099-C40C66FF867C}">
                  <a14:compatExt spid="_x0000_s6445"/>
                </a:ext>
                <a:ext uri="{FF2B5EF4-FFF2-40B4-BE49-F238E27FC236}">
                  <a16:creationId xmlns:a16="http://schemas.microsoft.com/office/drawing/2014/main" id="{00000000-0008-0000-0400-00002D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24</xdr:row>
          <xdr:rowOff>0</xdr:rowOff>
        </xdr:from>
        <xdr:to>
          <xdr:col>9</xdr:col>
          <xdr:colOff>828675</xdr:colOff>
          <xdr:row>25</xdr:row>
          <xdr:rowOff>0</xdr:rowOff>
        </xdr:to>
        <xdr:sp macro="" textlink="">
          <xdr:nvSpPr>
            <xdr:cNvPr id="6446" name="Check Box 302" hidden="1">
              <a:extLst>
                <a:ext uri="{63B3BB69-23CF-44E3-9099-C40C66FF867C}">
                  <a14:compatExt spid="_x0000_s6446"/>
                </a:ext>
                <a:ext uri="{FF2B5EF4-FFF2-40B4-BE49-F238E27FC236}">
                  <a16:creationId xmlns:a16="http://schemas.microsoft.com/office/drawing/2014/main" id="{00000000-0008-0000-0400-00002E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25</xdr:row>
          <xdr:rowOff>0</xdr:rowOff>
        </xdr:from>
        <xdr:to>
          <xdr:col>7</xdr:col>
          <xdr:colOff>809625</xdr:colOff>
          <xdr:row>26</xdr:row>
          <xdr:rowOff>0</xdr:rowOff>
        </xdr:to>
        <xdr:sp macro="" textlink="">
          <xdr:nvSpPr>
            <xdr:cNvPr id="6448" name="Check Box 304" hidden="1">
              <a:extLst>
                <a:ext uri="{63B3BB69-23CF-44E3-9099-C40C66FF867C}">
                  <a14:compatExt spid="_x0000_s6448"/>
                </a:ext>
                <a:ext uri="{FF2B5EF4-FFF2-40B4-BE49-F238E27FC236}">
                  <a16:creationId xmlns:a16="http://schemas.microsoft.com/office/drawing/2014/main" id="{00000000-0008-0000-0400-000030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25</xdr:row>
          <xdr:rowOff>0</xdr:rowOff>
        </xdr:from>
        <xdr:to>
          <xdr:col>8</xdr:col>
          <xdr:colOff>790575</xdr:colOff>
          <xdr:row>26</xdr:row>
          <xdr:rowOff>0</xdr:rowOff>
        </xdr:to>
        <xdr:sp macro="" textlink="">
          <xdr:nvSpPr>
            <xdr:cNvPr id="6449" name="Check Box 305" hidden="1">
              <a:extLst>
                <a:ext uri="{63B3BB69-23CF-44E3-9099-C40C66FF867C}">
                  <a14:compatExt spid="_x0000_s6449"/>
                </a:ext>
                <a:ext uri="{FF2B5EF4-FFF2-40B4-BE49-F238E27FC236}">
                  <a16:creationId xmlns:a16="http://schemas.microsoft.com/office/drawing/2014/main" id="{00000000-0008-0000-0400-000031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25</xdr:row>
          <xdr:rowOff>0</xdr:rowOff>
        </xdr:from>
        <xdr:to>
          <xdr:col>9</xdr:col>
          <xdr:colOff>828675</xdr:colOff>
          <xdr:row>26</xdr:row>
          <xdr:rowOff>0</xdr:rowOff>
        </xdr:to>
        <xdr:sp macro="" textlink="">
          <xdr:nvSpPr>
            <xdr:cNvPr id="6450" name="Check Box 306" hidden="1">
              <a:extLst>
                <a:ext uri="{63B3BB69-23CF-44E3-9099-C40C66FF867C}">
                  <a14:compatExt spid="_x0000_s6450"/>
                </a:ext>
                <a:ext uri="{FF2B5EF4-FFF2-40B4-BE49-F238E27FC236}">
                  <a16:creationId xmlns:a16="http://schemas.microsoft.com/office/drawing/2014/main" id="{00000000-0008-0000-0400-000032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26</xdr:row>
          <xdr:rowOff>0</xdr:rowOff>
        </xdr:from>
        <xdr:to>
          <xdr:col>7</xdr:col>
          <xdr:colOff>809625</xdr:colOff>
          <xdr:row>27</xdr:row>
          <xdr:rowOff>0</xdr:rowOff>
        </xdr:to>
        <xdr:sp macro="" textlink="">
          <xdr:nvSpPr>
            <xdr:cNvPr id="6452" name="Check Box 308" hidden="1">
              <a:extLst>
                <a:ext uri="{63B3BB69-23CF-44E3-9099-C40C66FF867C}">
                  <a14:compatExt spid="_x0000_s6452"/>
                </a:ext>
                <a:ext uri="{FF2B5EF4-FFF2-40B4-BE49-F238E27FC236}">
                  <a16:creationId xmlns:a16="http://schemas.microsoft.com/office/drawing/2014/main" id="{00000000-0008-0000-0400-000034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26</xdr:row>
          <xdr:rowOff>0</xdr:rowOff>
        </xdr:from>
        <xdr:to>
          <xdr:col>8</xdr:col>
          <xdr:colOff>790575</xdr:colOff>
          <xdr:row>27</xdr:row>
          <xdr:rowOff>0</xdr:rowOff>
        </xdr:to>
        <xdr:sp macro="" textlink="">
          <xdr:nvSpPr>
            <xdr:cNvPr id="6453" name="Check Box 309" hidden="1">
              <a:extLst>
                <a:ext uri="{63B3BB69-23CF-44E3-9099-C40C66FF867C}">
                  <a14:compatExt spid="_x0000_s6453"/>
                </a:ext>
                <a:ext uri="{FF2B5EF4-FFF2-40B4-BE49-F238E27FC236}">
                  <a16:creationId xmlns:a16="http://schemas.microsoft.com/office/drawing/2014/main" id="{00000000-0008-0000-0400-000035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26</xdr:row>
          <xdr:rowOff>0</xdr:rowOff>
        </xdr:from>
        <xdr:to>
          <xdr:col>9</xdr:col>
          <xdr:colOff>828675</xdr:colOff>
          <xdr:row>27</xdr:row>
          <xdr:rowOff>0</xdr:rowOff>
        </xdr:to>
        <xdr:sp macro="" textlink="">
          <xdr:nvSpPr>
            <xdr:cNvPr id="6454" name="Check Box 310" hidden="1">
              <a:extLst>
                <a:ext uri="{63B3BB69-23CF-44E3-9099-C40C66FF867C}">
                  <a14:compatExt spid="_x0000_s6454"/>
                </a:ext>
                <a:ext uri="{FF2B5EF4-FFF2-40B4-BE49-F238E27FC236}">
                  <a16:creationId xmlns:a16="http://schemas.microsoft.com/office/drawing/2014/main" id="{00000000-0008-0000-0400-000036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27</xdr:row>
          <xdr:rowOff>0</xdr:rowOff>
        </xdr:from>
        <xdr:to>
          <xdr:col>7</xdr:col>
          <xdr:colOff>809625</xdr:colOff>
          <xdr:row>28</xdr:row>
          <xdr:rowOff>0</xdr:rowOff>
        </xdr:to>
        <xdr:sp macro="" textlink="">
          <xdr:nvSpPr>
            <xdr:cNvPr id="6456" name="Check Box 312" hidden="1">
              <a:extLst>
                <a:ext uri="{63B3BB69-23CF-44E3-9099-C40C66FF867C}">
                  <a14:compatExt spid="_x0000_s6456"/>
                </a:ext>
                <a:ext uri="{FF2B5EF4-FFF2-40B4-BE49-F238E27FC236}">
                  <a16:creationId xmlns:a16="http://schemas.microsoft.com/office/drawing/2014/main" id="{00000000-0008-0000-0400-000038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27</xdr:row>
          <xdr:rowOff>0</xdr:rowOff>
        </xdr:from>
        <xdr:to>
          <xdr:col>8</xdr:col>
          <xdr:colOff>790575</xdr:colOff>
          <xdr:row>28</xdr:row>
          <xdr:rowOff>0</xdr:rowOff>
        </xdr:to>
        <xdr:sp macro="" textlink="">
          <xdr:nvSpPr>
            <xdr:cNvPr id="6457" name="Check Box 313" hidden="1">
              <a:extLst>
                <a:ext uri="{63B3BB69-23CF-44E3-9099-C40C66FF867C}">
                  <a14:compatExt spid="_x0000_s6457"/>
                </a:ext>
                <a:ext uri="{FF2B5EF4-FFF2-40B4-BE49-F238E27FC236}">
                  <a16:creationId xmlns:a16="http://schemas.microsoft.com/office/drawing/2014/main" id="{00000000-0008-0000-0400-000039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27</xdr:row>
          <xdr:rowOff>0</xdr:rowOff>
        </xdr:from>
        <xdr:to>
          <xdr:col>9</xdr:col>
          <xdr:colOff>828675</xdr:colOff>
          <xdr:row>28</xdr:row>
          <xdr:rowOff>0</xdr:rowOff>
        </xdr:to>
        <xdr:sp macro="" textlink="">
          <xdr:nvSpPr>
            <xdr:cNvPr id="6458" name="Check Box 314" hidden="1">
              <a:extLst>
                <a:ext uri="{63B3BB69-23CF-44E3-9099-C40C66FF867C}">
                  <a14:compatExt spid="_x0000_s6458"/>
                </a:ext>
                <a:ext uri="{FF2B5EF4-FFF2-40B4-BE49-F238E27FC236}">
                  <a16:creationId xmlns:a16="http://schemas.microsoft.com/office/drawing/2014/main" id="{00000000-0008-0000-0400-00003A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28</xdr:row>
          <xdr:rowOff>0</xdr:rowOff>
        </xdr:from>
        <xdr:to>
          <xdr:col>7</xdr:col>
          <xdr:colOff>809625</xdr:colOff>
          <xdr:row>29</xdr:row>
          <xdr:rowOff>0</xdr:rowOff>
        </xdr:to>
        <xdr:sp macro="" textlink="">
          <xdr:nvSpPr>
            <xdr:cNvPr id="6460" name="Check Box 316" hidden="1">
              <a:extLst>
                <a:ext uri="{63B3BB69-23CF-44E3-9099-C40C66FF867C}">
                  <a14:compatExt spid="_x0000_s6460"/>
                </a:ext>
                <a:ext uri="{FF2B5EF4-FFF2-40B4-BE49-F238E27FC236}">
                  <a16:creationId xmlns:a16="http://schemas.microsoft.com/office/drawing/2014/main" id="{00000000-0008-0000-0400-00003C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28</xdr:row>
          <xdr:rowOff>0</xdr:rowOff>
        </xdr:from>
        <xdr:to>
          <xdr:col>8</xdr:col>
          <xdr:colOff>790575</xdr:colOff>
          <xdr:row>29</xdr:row>
          <xdr:rowOff>0</xdr:rowOff>
        </xdr:to>
        <xdr:sp macro="" textlink="">
          <xdr:nvSpPr>
            <xdr:cNvPr id="6461" name="Check Box 317" hidden="1">
              <a:extLst>
                <a:ext uri="{63B3BB69-23CF-44E3-9099-C40C66FF867C}">
                  <a14:compatExt spid="_x0000_s6461"/>
                </a:ext>
                <a:ext uri="{FF2B5EF4-FFF2-40B4-BE49-F238E27FC236}">
                  <a16:creationId xmlns:a16="http://schemas.microsoft.com/office/drawing/2014/main" id="{00000000-0008-0000-0400-00003D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28</xdr:row>
          <xdr:rowOff>0</xdr:rowOff>
        </xdr:from>
        <xdr:to>
          <xdr:col>9</xdr:col>
          <xdr:colOff>828675</xdr:colOff>
          <xdr:row>29</xdr:row>
          <xdr:rowOff>0</xdr:rowOff>
        </xdr:to>
        <xdr:sp macro="" textlink="">
          <xdr:nvSpPr>
            <xdr:cNvPr id="6462" name="Check Box 318" hidden="1">
              <a:extLst>
                <a:ext uri="{63B3BB69-23CF-44E3-9099-C40C66FF867C}">
                  <a14:compatExt spid="_x0000_s6462"/>
                </a:ext>
                <a:ext uri="{FF2B5EF4-FFF2-40B4-BE49-F238E27FC236}">
                  <a16:creationId xmlns:a16="http://schemas.microsoft.com/office/drawing/2014/main" id="{00000000-0008-0000-0400-00003E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29</xdr:row>
          <xdr:rowOff>0</xdr:rowOff>
        </xdr:from>
        <xdr:to>
          <xdr:col>7</xdr:col>
          <xdr:colOff>809625</xdr:colOff>
          <xdr:row>30</xdr:row>
          <xdr:rowOff>0</xdr:rowOff>
        </xdr:to>
        <xdr:sp macro="" textlink="">
          <xdr:nvSpPr>
            <xdr:cNvPr id="6464" name="Check Box 320" hidden="1">
              <a:extLst>
                <a:ext uri="{63B3BB69-23CF-44E3-9099-C40C66FF867C}">
                  <a14:compatExt spid="_x0000_s6464"/>
                </a:ext>
                <a:ext uri="{FF2B5EF4-FFF2-40B4-BE49-F238E27FC236}">
                  <a16:creationId xmlns:a16="http://schemas.microsoft.com/office/drawing/2014/main" id="{00000000-0008-0000-0400-000040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29</xdr:row>
          <xdr:rowOff>0</xdr:rowOff>
        </xdr:from>
        <xdr:to>
          <xdr:col>8</xdr:col>
          <xdr:colOff>790575</xdr:colOff>
          <xdr:row>30</xdr:row>
          <xdr:rowOff>0</xdr:rowOff>
        </xdr:to>
        <xdr:sp macro="" textlink="">
          <xdr:nvSpPr>
            <xdr:cNvPr id="6465" name="Check Box 321" hidden="1">
              <a:extLst>
                <a:ext uri="{63B3BB69-23CF-44E3-9099-C40C66FF867C}">
                  <a14:compatExt spid="_x0000_s6465"/>
                </a:ext>
                <a:ext uri="{FF2B5EF4-FFF2-40B4-BE49-F238E27FC236}">
                  <a16:creationId xmlns:a16="http://schemas.microsoft.com/office/drawing/2014/main" id="{00000000-0008-0000-0400-000041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29</xdr:row>
          <xdr:rowOff>0</xdr:rowOff>
        </xdr:from>
        <xdr:to>
          <xdr:col>9</xdr:col>
          <xdr:colOff>828675</xdr:colOff>
          <xdr:row>30</xdr:row>
          <xdr:rowOff>0</xdr:rowOff>
        </xdr:to>
        <xdr:sp macro="" textlink="">
          <xdr:nvSpPr>
            <xdr:cNvPr id="6466" name="Check Box 322" hidden="1">
              <a:extLst>
                <a:ext uri="{63B3BB69-23CF-44E3-9099-C40C66FF867C}">
                  <a14:compatExt spid="_x0000_s6466"/>
                </a:ext>
                <a:ext uri="{FF2B5EF4-FFF2-40B4-BE49-F238E27FC236}">
                  <a16:creationId xmlns:a16="http://schemas.microsoft.com/office/drawing/2014/main" id="{00000000-0008-0000-0400-000042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87</xdr:row>
          <xdr:rowOff>0</xdr:rowOff>
        </xdr:from>
        <xdr:to>
          <xdr:col>7</xdr:col>
          <xdr:colOff>809625</xdr:colOff>
          <xdr:row>88</xdr:row>
          <xdr:rowOff>0</xdr:rowOff>
        </xdr:to>
        <xdr:sp macro="" textlink="">
          <xdr:nvSpPr>
            <xdr:cNvPr id="6468" name="Check Box 324" hidden="1">
              <a:extLst>
                <a:ext uri="{63B3BB69-23CF-44E3-9099-C40C66FF867C}">
                  <a14:compatExt spid="_x0000_s6468"/>
                </a:ext>
                <a:ext uri="{FF2B5EF4-FFF2-40B4-BE49-F238E27FC236}">
                  <a16:creationId xmlns:a16="http://schemas.microsoft.com/office/drawing/2014/main" id="{00000000-0008-0000-0400-000044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87</xdr:row>
          <xdr:rowOff>0</xdr:rowOff>
        </xdr:from>
        <xdr:to>
          <xdr:col>8</xdr:col>
          <xdr:colOff>790575</xdr:colOff>
          <xdr:row>88</xdr:row>
          <xdr:rowOff>0</xdr:rowOff>
        </xdr:to>
        <xdr:sp macro="" textlink="">
          <xdr:nvSpPr>
            <xdr:cNvPr id="6469" name="Check Box 325" hidden="1">
              <a:extLst>
                <a:ext uri="{63B3BB69-23CF-44E3-9099-C40C66FF867C}">
                  <a14:compatExt spid="_x0000_s6469"/>
                </a:ext>
                <a:ext uri="{FF2B5EF4-FFF2-40B4-BE49-F238E27FC236}">
                  <a16:creationId xmlns:a16="http://schemas.microsoft.com/office/drawing/2014/main" id="{00000000-0008-0000-0400-000045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87</xdr:row>
          <xdr:rowOff>0</xdr:rowOff>
        </xdr:from>
        <xdr:to>
          <xdr:col>9</xdr:col>
          <xdr:colOff>828675</xdr:colOff>
          <xdr:row>88</xdr:row>
          <xdr:rowOff>0</xdr:rowOff>
        </xdr:to>
        <xdr:sp macro="" textlink="">
          <xdr:nvSpPr>
            <xdr:cNvPr id="6470" name="Check Box 326" hidden="1">
              <a:extLst>
                <a:ext uri="{63B3BB69-23CF-44E3-9099-C40C66FF867C}">
                  <a14:compatExt spid="_x0000_s6470"/>
                </a:ext>
                <a:ext uri="{FF2B5EF4-FFF2-40B4-BE49-F238E27FC236}">
                  <a16:creationId xmlns:a16="http://schemas.microsoft.com/office/drawing/2014/main" id="{00000000-0008-0000-0400-000046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88</xdr:row>
          <xdr:rowOff>0</xdr:rowOff>
        </xdr:from>
        <xdr:to>
          <xdr:col>7</xdr:col>
          <xdr:colOff>809625</xdr:colOff>
          <xdr:row>89</xdr:row>
          <xdr:rowOff>0</xdr:rowOff>
        </xdr:to>
        <xdr:sp macro="" textlink="">
          <xdr:nvSpPr>
            <xdr:cNvPr id="6472" name="Check Box 328" hidden="1">
              <a:extLst>
                <a:ext uri="{63B3BB69-23CF-44E3-9099-C40C66FF867C}">
                  <a14:compatExt spid="_x0000_s6472"/>
                </a:ext>
                <a:ext uri="{FF2B5EF4-FFF2-40B4-BE49-F238E27FC236}">
                  <a16:creationId xmlns:a16="http://schemas.microsoft.com/office/drawing/2014/main" id="{00000000-0008-0000-0400-000048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88</xdr:row>
          <xdr:rowOff>0</xdr:rowOff>
        </xdr:from>
        <xdr:to>
          <xdr:col>8</xdr:col>
          <xdr:colOff>790575</xdr:colOff>
          <xdr:row>89</xdr:row>
          <xdr:rowOff>0</xdr:rowOff>
        </xdr:to>
        <xdr:sp macro="" textlink="">
          <xdr:nvSpPr>
            <xdr:cNvPr id="6473" name="Check Box 329" hidden="1">
              <a:extLst>
                <a:ext uri="{63B3BB69-23CF-44E3-9099-C40C66FF867C}">
                  <a14:compatExt spid="_x0000_s6473"/>
                </a:ext>
                <a:ext uri="{FF2B5EF4-FFF2-40B4-BE49-F238E27FC236}">
                  <a16:creationId xmlns:a16="http://schemas.microsoft.com/office/drawing/2014/main" id="{00000000-0008-0000-0400-000049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88</xdr:row>
          <xdr:rowOff>0</xdr:rowOff>
        </xdr:from>
        <xdr:to>
          <xdr:col>9</xdr:col>
          <xdr:colOff>828675</xdr:colOff>
          <xdr:row>89</xdr:row>
          <xdr:rowOff>0</xdr:rowOff>
        </xdr:to>
        <xdr:sp macro="" textlink="">
          <xdr:nvSpPr>
            <xdr:cNvPr id="6474" name="Check Box 330" hidden="1">
              <a:extLst>
                <a:ext uri="{63B3BB69-23CF-44E3-9099-C40C66FF867C}">
                  <a14:compatExt spid="_x0000_s6474"/>
                </a:ext>
                <a:ext uri="{FF2B5EF4-FFF2-40B4-BE49-F238E27FC236}">
                  <a16:creationId xmlns:a16="http://schemas.microsoft.com/office/drawing/2014/main" id="{00000000-0008-0000-0400-00004A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739" name="Check Box 595" hidden="1">
              <a:extLst>
                <a:ext uri="{63B3BB69-23CF-44E3-9099-C40C66FF867C}">
                  <a14:compatExt spid="_x0000_s6739"/>
                </a:ext>
                <a:ext uri="{FF2B5EF4-FFF2-40B4-BE49-F238E27FC236}">
                  <a16:creationId xmlns:a16="http://schemas.microsoft.com/office/drawing/2014/main" id="{00000000-0008-0000-0400-000053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740" name="Check Box 596" hidden="1">
              <a:extLst>
                <a:ext uri="{63B3BB69-23CF-44E3-9099-C40C66FF867C}">
                  <a14:compatExt spid="_x0000_s6740"/>
                </a:ext>
                <a:ext uri="{FF2B5EF4-FFF2-40B4-BE49-F238E27FC236}">
                  <a16:creationId xmlns:a16="http://schemas.microsoft.com/office/drawing/2014/main" id="{00000000-0008-0000-0400-000054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741" name="Check Box 597" hidden="1">
              <a:extLst>
                <a:ext uri="{63B3BB69-23CF-44E3-9099-C40C66FF867C}">
                  <a14:compatExt spid="_x0000_s6741"/>
                </a:ext>
                <a:ext uri="{FF2B5EF4-FFF2-40B4-BE49-F238E27FC236}">
                  <a16:creationId xmlns:a16="http://schemas.microsoft.com/office/drawing/2014/main" id="{00000000-0008-0000-0400-000055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742" name="Check Box 598" hidden="1">
              <a:extLst>
                <a:ext uri="{63B3BB69-23CF-44E3-9099-C40C66FF867C}">
                  <a14:compatExt spid="_x0000_s6742"/>
                </a:ext>
                <a:ext uri="{FF2B5EF4-FFF2-40B4-BE49-F238E27FC236}">
                  <a16:creationId xmlns:a16="http://schemas.microsoft.com/office/drawing/2014/main" id="{00000000-0008-0000-0400-000056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743" name="Check Box 599" hidden="1">
              <a:extLst>
                <a:ext uri="{63B3BB69-23CF-44E3-9099-C40C66FF867C}">
                  <a14:compatExt spid="_x0000_s6743"/>
                </a:ext>
                <a:ext uri="{FF2B5EF4-FFF2-40B4-BE49-F238E27FC236}">
                  <a16:creationId xmlns:a16="http://schemas.microsoft.com/office/drawing/2014/main" id="{00000000-0008-0000-0400-000057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744" name="Check Box 600" hidden="1">
              <a:extLst>
                <a:ext uri="{63B3BB69-23CF-44E3-9099-C40C66FF867C}">
                  <a14:compatExt spid="_x0000_s6744"/>
                </a:ext>
                <a:ext uri="{FF2B5EF4-FFF2-40B4-BE49-F238E27FC236}">
                  <a16:creationId xmlns:a16="http://schemas.microsoft.com/office/drawing/2014/main" id="{00000000-0008-0000-0400-000058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745" name="Check Box 601" hidden="1">
              <a:extLst>
                <a:ext uri="{63B3BB69-23CF-44E3-9099-C40C66FF867C}">
                  <a14:compatExt spid="_x0000_s6745"/>
                </a:ext>
                <a:ext uri="{FF2B5EF4-FFF2-40B4-BE49-F238E27FC236}">
                  <a16:creationId xmlns:a16="http://schemas.microsoft.com/office/drawing/2014/main" id="{00000000-0008-0000-0400-000059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746" name="Check Box 602" hidden="1">
              <a:extLst>
                <a:ext uri="{63B3BB69-23CF-44E3-9099-C40C66FF867C}">
                  <a14:compatExt spid="_x0000_s6746"/>
                </a:ext>
                <a:ext uri="{FF2B5EF4-FFF2-40B4-BE49-F238E27FC236}">
                  <a16:creationId xmlns:a16="http://schemas.microsoft.com/office/drawing/2014/main" id="{00000000-0008-0000-0400-00005A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747" name="Check Box 603" hidden="1">
              <a:extLst>
                <a:ext uri="{63B3BB69-23CF-44E3-9099-C40C66FF867C}">
                  <a14:compatExt spid="_x0000_s6747"/>
                </a:ext>
                <a:ext uri="{FF2B5EF4-FFF2-40B4-BE49-F238E27FC236}">
                  <a16:creationId xmlns:a16="http://schemas.microsoft.com/office/drawing/2014/main" id="{00000000-0008-0000-0400-00005B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748" name="Check Box 604" hidden="1">
              <a:extLst>
                <a:ext uri="{63B3BB69-23CF-44E3-9099-C40C66FF867C}">
                  <a14:compatExt spid="_x0000_s6748"/>
                </a:ext>
                <a:ext uri="{FF2B5EF4-FFF2-40B4-BE49-F238E27FC236}">
                  <a16:creationId xmlns:a16="http://schemas.microsoft.com/office/drawing/2014/main" id="{00000000-0008-0000-0400-00005C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749" name="Check Box 605" hidden="1">
              <a:extLst>
                <a:ext uri="{63B3BB69-23CF-44E3-9099-C40C66FF867C}">
                  <a14:compatExt spid="_x0000_s6749"/>
                </a:ext>
                <a:ext uri="{FF2B5EF4-FFF2-40B4-BE49-F238E27FC236}">
                  <a16:creationId xmlns:a16="http://schemas.microsoft.com/office/drawing/2014/main" id="{00000000-0008-0000-0400-00005D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750" name="Check Box 606" hidden="1">
              <a:extLst>
                <a:ext uri="{63B3BB69-23CF-44E3-9099-C40C66FF867C}">
                  <a14:compatExt spid="_x0000_s6750"/>
                </a:ext>
                <a:ext uri="{FF2B5EF4-FFF2-40B4-BE49-F238E27FC236}">
                  <a16:creationId xmlns:a16="http://schemas.microsoft.com/office/drawing/2014/main" id="{00000000-0008-0000-0400-00005E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751" name="Check Box 607" hidden="1">
              <a:extLst>
                <a:ext uri="{63B3BB69-23CF-44E3-9099-C40C66FF867C}">
                  <a14:compatExt spid="_x0000_s6751"/>
                </a:ext>
                <a:ext uri="{FF2B5EF4-FFF2-40B4-BE49-F238E27FC236}">
                  <a16:creationId xmlns:a16="http://schemas.microsoft.com/office/drawing/2014/main" id="{00000000-0008-0000-0400-00005F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752" name="Check Box 608" hidden="1">
              <a:extLst>
                <a:ext uri="{63B3BB69-23CF-44E3-9099-C40C66FF867C}">
                  <a14:compatExt spid="_x0000_s6752"/>
                </a:ext>
                <a:ext uri="{FF2B5EF4-FFF2-40B4-BE49-F238E27FC236}">
                  <a16:creationId xmlns:a16="http://schemas.microsoft.com/office/drawing/2014/main" id="{00000000-0008-0000-0400-000060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753" name="Check Box 609" hidden="1">
              <a:extLst>
                <a:ext uri="{63B3BB69-23CF-44E3-9099-C40C66FF867C}">
                  <a14:compatExt spid="_x0000_s6753"/>
                </a:ext>
                <a:ext uri="{FF2B5EF4-FFF2-40B4-BE49-F238E27FC236}">
                  <a16:creationId xmlns:a16="http://schemas.microsoft.com/office/drawing/2014/main" id="{00000000-0008-0000-0400-000061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754" name="Check Box 610" hidden="1">
              <a:extLst>
                <a:ext uri="{63B3BB69-23CF-44E3-9099-C40C66FF867C}">
                  <a14:compatExt spid="_x0000_s6754"/>
                </a:ext>
                <a:ext uri="{FF2B5EF4-FFF2-40B4-BE49-F238E27FC236}">
                  <a16:creationId xmlns:a16="http://schemas.microsoft.com/office/drawing/2014/main" id="{00000000-0008-0000-0400-000062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755" name="Check Box 611" hidden="1">
              <a:extLst>
                <a:ext uri="{63B3BB69-23CF-44E3-9099-C40C66FF867C}">
                  <a14:compatExt spid="_x0000_s6755"/>
                </a:ext>
                <a:ext uri="{FF2B5EF4-FFF2-40B4-BE49-F238E27FC236}">
                  <a16:creationId xmlns:a16="http://schemas.microsoft.com/office/drawing/2014/main" id="{00000000-0008-0000-0400-000063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756" name="Check Box 612" hidden="1">
              <a:extLst>
                <a:ext uri="{63B3BB69-23CF-44E3-9099-C40C66FF867C}">
                  <a14:compatExt spid="_x0000_s6756"/>
                </a:ext>
                <a:ext uri="{FF2B5EF4-FFF2-40B4-BE49-F238E27FC236}">
                  <a16:creationId xmlns:a16="http://schemas.microsoft.com/office/drawing/2014/main" id="{00000000-0008-0000-0400-000064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757" name="Check Box 613" hidden="1">
              <a:extLst>
                <a:ext uri="{63B3BB69-23CF-44E3-9099-C40C66FF867C}">
                  <a14:compatExt spid="_x0000_s6757"/>
                </a:ext>
                <a:ext uri="{FF2B5EF4-FFF2-40B4-BE49-F238E27FC236}">
                  <a16:creationId xmlns:a16="http://schemas.microsoft.com/office/drawing/2014/main" id="{00000000-0008-0000-0400-000065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758" name="Check Box 614" hidden="1">
              <a:extLst>
                <a:ext uri="{63B3BB69-23CF-44E3-9099-C40C66FF867C}">
                  <a14:compatExt spid="_x0000_s6758"/>
                </a:ext>
                <a:ext uri="{FF2B5EF4-FFF2-40B4-BE49-F238E27FC236}">
                  <a16:creationId xmlns:a16="http://schemas.microsoft.com/office/drawing/2014/main" id="{00000000-0008-0000-0400-000066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759" name="Check Box 615" hidden="1">
              <a:extLst>
                <a:ext uri="{63B3BB69-23CF-44E3-9099-C40C66FF867C}">
                  <a14:compatExt spid="_x0000_s6759"/>
                </a:ext>
                <a:ext uri="{FF2B5EF4-FFF2-40B4-BE49-F238E27FC236}">
                  <a16:creationId xmlns:a16="http://schemas.microsoft.com/office/drawing/2014/main" id="{00000000-0008-0000-0400-000067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760" name="Check Box 616" hidden="1">
              <a:extLst>
                <a:ext uri="{63B3BB69-23CF-44E3-9099-C40C66FF867C}">
                  <a14:compatExt spid="_x0000_s6760"/>
                </a:ext>
                <a:ext uri="{FF2B5EF4-FFF2-40B4-BE49-F238E27FC236}">
                  <a16:creationId xmlns:a16="http://schemas.microsoft.com/office/drawing/2014/main" id="{00000000-0008-0000-0400-000068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761" name="Check Box 617" hidden="1">
              <a:extLst>
                <a:ext uri="{63B3BB69-23CF-44E3-9099-C40C66FF867C}">
                  <a14:compatExt spid="_x0000_s6761"/>
                </a:ext>
                <a:ext uri="{FF2B5EF4-FFF2-40B4-BE49-F238E27FC236}">
                  <a16:creationId xmlns:a16="http://schemas.microsoft.com/office/drawing/2014/main" id="{00000000-0008-0000-0400-000069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762" name="Check Box 618" hidden="1">
              <a:extLst>
                <a:ext uri="{63B3BB69-23CF-44E3-9099-C40C66FF867C}">
                  <a14:compatExt spid="_x0000_s6762"/>
                </a:ext>
                <a:ext uri="{FF2B5EF4-FFF2-40B4-BE49-F238E27FC236}">
                  <a16:creationId xmlns:a16="http://schemas.microsoft.com/office/drawing/2014/main" id="{00000000-0008-0000-0400-00006A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763" name="Check Box 619" hidden="1">
              <a:extLst>
                <a:ext uri="{63B3BB69-23CF-44E3-9099-C40C66FF867C}">
                  <a14:compatExt spid="_x0000_s6763"/>
                </a:ext>
                <a:ext uri="{FF2B5EF4-FFF2-40B4-BE49-F238E27FC236}">
                  <a16:creationId xmlns:a16="http://schemas.microsoft.com/office/drawing/2014/main" id="{00000000-0008-0000-0400-00006B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764" name="Check Box 620" hidden="1">
              <a:extLst>
                <a:ext uri="{63B3BB69-23CF-44E3-9099-C40C66FF867C}">
                  <a14:compatExt spid="_x0000_s6764"/>
                </a:ext>
                <a:ext uri="{FF2B5EF4-FFF2-40B4-BE49-F238E27FC236}">
                  <a16:creationId xmlns:a16="http://schemas.microsoft.com/office/drawing/2014/main" id="{00000000-0008-0000-0400-00006C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765" name="Check Box 621" hidden="1">
              <a:extLst>
                <a:ext uri="{63B3BB69-23CF-44E3-9099-C40C66FF867C}">
                  <a14:compatExt spid="_x0000_s6765"/>
                </a:ext>
                <a:ext uri="{FF2B5EF4-FFF2-40B4-BE49-F238E27FC236}">
                  <a16:creationId xmlns:a16="http://schemas.microsoft.com/office/drawing/2014/main" id="{00000000-0008-0000-0400-00006D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766" name="Check Box 622" hidden="1">
              <a:extLst>
                <a:ext uri="{63B3BB69-23CF-44E3-9099-C40C66FF867C}">
                  <a14:compatExt spid="_x0000_s6766"/>
                </a:ext>
                <a:ext uri="{FF2B5EF4-FFF2-40B4-BE49-F238E27FC236}">
                  <a16:creationId xmlns:a16="http://schemas.microsoft.com/office/drawing/2014/main" id="{00000000-0008-0000-0400-00006E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767" name="Check Box 623" hidden="1">
              <a:extLst>
                <a:ext uri="{63B3BB69-23CF-44E3-9099-C40C66FF867C}">
                  <a14:compatExt spid="_x0000_s6767"/>
                </a:ext>
                <a:ext uri="{FF2B5EF4-FFF2-40B4-BE49-F238E27FC236}">
                  <a16:creationId xmlns:a16="http://schemas.microsoft.com/office/drawing/2014/main" id="{00000000-0008-0000-0400-00006F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768" name="Check Box 624" hidden="1">
              <a:extLst>
                <a:ext uri="{63B3BB69-23CF-44E3-9099-C40C66FF867C}">
                  <a14:compatExt spid="_x0000_s6768"/>
                </a:ext>
                <a:ext uri="{FF2B5EF4-FFF2-40B4-BE49-F238E27FC236}">
                  <a16:creationId xmlns:a16="http://schemas.microsoft.com/office/drawing/2014/main" id="{00000000-0008-0000-0400-000070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769" name="Check Box 625" hidden="1">
              <a:extLst>
                <a:ext uri="{63B3BB69-23CF-44E3-9099-C40C66FF867C}">
                  <a14:compatExt spid="_x0000_s6769"/>
                </a:ext>
                <a:ext uri="{FF2B5EF4-FFF2-40B4-BE49-F238E27FC236}">
                  <a16:creationId xmlns:a16="http://schemas.microsoft.com/office/drawing/2014/main" id="{00000000-0008-0000-0400-000071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770" name="Check Box 626" hidden="1">
              <a:extLst>
                <a:ext uri="{63B3BB69-23CF-44E3-9099-C40C66FF867C}">
                  <a14:compatExt spid="_x0000_s6770"/>
                </a:ext>
                <a:ext uri="{FF2B5EF4-FFF2-40B4-BE49-F238E27FC236}">
                  <a16:creationId xmlns:a16="http://schemas.microsoft.com/office/drawing/2014/main" id="{00000000-0008-0000-0400-000072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771" name="Check Box 627" hidden="1">
              <a:extLst>
                <a:ext uri="{63B3BB69-23CF-44E3-9099-C40C66FF867C}">
                  <a14:compatExt spid="_x0000_s6771"/>
                </a:ext>
                <a:ext uri="{FF2B5EF4-FFF2-40B4-BE49-F238E27FC236}">
                  <a16:creationId xmlns:a16="http://schemas.microsoft.com/office/drawing/2014/main" id="{00000000-0008-0000-0400-000073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772" name="Check Box 628" hidden="1">
              <a:extLst>
                <a:ext uri="{63B3BB69-23CF-44E3-9099-C40C66FF867C}">
                  <a14:compatExt spid="_x0000_s6772"/>
                </a:ext>
                <a:ext uri="{FF2B5EF4-FFF2-40B4-BE49-F238E27FC236}">
                  <a16:creationId xmlns:a16="http://schemas.microsoft.com/office/drawing/2014/main" id="{00000000-0008-0000-0400-000074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773" name="Check Box 629" hidden="1">
              <a:extLst>
                <a:ext uri="{63B3BB69-23CF-44E3-9099-C40C66FF867C}">
                  <a14:compatExt spid="_x0000_s6773"/>
                </a:ext>
                <a:ext uri="{FF2B5EF4-FFF2-40B4-BE49-F238E27FC236}">
                  <a16:creationId xmlns:a16="http://schemas.microsoft.com/office/drawing/2014/main" id="{00000000-0008-0000-0400-000075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774" name="Check Box 630" hidden="1">
              <a:extLst>
                <a:ext uri="{63B3BB69-23CF-44E3-9099-C40C66FF867C}">
                  <a14:compatExt spid="_x0000_s6774"/>
                </a:ext>
                <a:ext uri="{FF2B5EF4-FFF2-40B4-BE49-F238E27FC236}">
                  <a16:creationId xmlns:a16="http://schemas.microsoft.com/office/drawing/2014/main" id="{00000000-0008-0000-0400-000076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775" name="Check Box 631" hidden="1">
              <a:extLst>
                <a:ext uri="{63B3BB69-23CF-44E3-9099-C40C66FF867C}">
                  <a14:compatExt spid="_x0000_s6775"/>
                </a:ext>
                <a:ext uri="{FF2B5EF4-FFF2-40B4-BE49-F238E27FC236}">
                  <a16:creationId xmlns:a16="http://schemas.microsoft.com/office/drawing/2014/main" id="{00000000-0008-0000-0400-000077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776" name="Check Box 632" hidden="1">
              <a:extLst>
                <a:ext uri="{63B3BB69-23CF-44E3-9099-C40C66FF867C}">
                  <a14:compatExt spid="_x0000_s6776"/>
                </a:ext>
                <a:ext uri="{FF2B5EF4-FFF2-40B4-BE49-F238E27FC236}">
                  <a16:creationId xmlns:a16="http://schemas.microsoft.com/office/drawing/2014/main" id="{00000000-0008-0000-0400-000078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777" name="Check Box 633" hidden="1">
              <a:extLst>
                <a:ext uri="{63B3BB69-23CF-44E3-9099-C40C66FF867C}">
                  <a14:compatExt spid="_x0000_s6777"/>
                </a:ext>
                <a:ext uri="{FF2B5EF4-FFF2-40B4-BE49-F238E27FC236}">
                  <a16:creationId xmlns:a16="http://schemas.microsoft.com/office/drawing/2014/main" id="{00000000-0008-0000-0400-000079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778" name="Check Box 634" hidden="1">
              <a:extLst>
                <a:ext uri="{63B3BB69-23CF-44E3-9099-C40C66FF867C}">
                  <a14:compatExt spid="_x0000_s6778"/>
                </a:ext>
                <a:ext uri="{FF2B5EF4-FFF2-40B4-BE49-F238E27FC236}">
                  <a16:creationId xmlns:a16="http://schemas.microsoft.com/office/drawing/2014/main" id="{00000000-0008-0000-0400-00007A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779" name="Check Box 635" hidden="1">
              <a:extLst>
                <a:ext uri="{63B3BB69-23CF-44E3-9099-C40C66FF867C}">
                  <a14:compatExt spid="_x0000_s6779"/>
                </a:ext>
                <a:ext uri="{FF2B5EF4-FFF2-40B4-BE49-F238E27FC236}">
                  <a16:creationId xmlns:a16="http://schemas.microsoft.com/office/drawing/2014/main" id="{00000000-0008-0000-0400-00007B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780" name="Check Box 636" hidden="1">
              <a:extLst>
                <a:ext uri="{63B3BB69-23CF-44E3-9099-C40C66FF867C}">
                  <a14:compatExt spid="_x0000_s6780"/>
                </a:ext>
                <a:ext uri="{FF2B5EF4-FFF2-40B4-BE49-F238E27FC236}">
                  <a16:creationId xmlns:a16="http://schemas.microsoft.com/office/drawing/2014/main" id="{00000000-0008-0000-0400-00007C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781" name="Check Box 637" hidden="1">
              <a:extLst>
                <a:ext uri="{63B3BB69-23CF-44E3-9099-C40C66FF867C}">
                  <a14:compatExt spid="_x0000_s6781"/>
                </a:ext>
                <a:ext uri="{FF2B5EF4-FFF2-40B4-BE49-F238E27FC236}">
                  <a16:creationId xmlns:a16="http://schemas.microsoft.com/office/drawing/2014/main" id="{00000000-0008-0000-0400-00007D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782" name="Check Box 638" hidden="1">
              <a:extLst>
                <a:ext uri="{63B3BB69-23CF-44E3-9099-C40C66FF867C}">
                  <a14:compatExt spid="_x0000_s6782"/>
                </a:ext>
                <a:ext uri="{FF2B5EF4-FFF2-40B4-BE49-F238E27FC236}">
                  <a16:creationId xmlns:a16="http://schemas.microsoft.com/office/drawing/2014/main" id="{00000000-0008-0000-0400-00007E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783" name="Check Box 639" hidden="1">
              <a:extLst>
                <a:ext uri="{63B3BB69-23CF-44E3-9099-C40C66FF867C}">
                  <a14:compatExt spid="_x0000_s6783"/>
                </a:ext>
                <a:ext uri="{FF2B5EF4-FFF2-40B4-BE49-F238E27FC236}">
                  <a16:creationId xmlns:a16="http://schemas.microsoft.com/office/drawing/2014/main" id="{00000000-0008-0000-0400-00007F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784" name="Check Box 640" hidden="1">
              <a:extLst>
                <a:ext uri="{63B3BB69-23CF-44E3-9099-C40C66FF867C}">
                  <a14:compatExt spid="_x0000_s6784"/>
                </a:ext>
                <a:ext uri="{FF2B5EF4-FFF2-40B4-BE49-F238E27FC236}">
                  <a16:creationId xmlns:a16="http://schemas.microsoft.com/office/drawing/2014/main" id="{00000000-0008-0000-0400-000080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785" name="Check Box 641" hidden="1">
              <a:extLst>
                <a:ext uri="{63B3BB69-23CF-44E3-9099-C40C66FF867C}">
                  <a14:compatExt spid="_x0000_s6785"/>
                </a:ext>
                <a:ext uri="{FF2B5EF4-FFF2-40B4-BE49-F238E27FC236}">
                  <a16:creationId xmlns:a16="http://schemas.microsoft.com/office/drawing/2014/main" id="{00000000-0008-0000-0400-000081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786" name="Check Box 642" hidden="1">
              <a:extLst>
                <a:ext uri="{63B3BB69-23CF-44E3-9099-C40C66FF867C}">
                  <a14:compatExt spid="_x0000_s6786"/>
                </a:ext>
                <a:ext uri="{FF2B5EF4-FFF2-40B4-BE49-F238E27FC236}">
                  <a16:creationId xmlns:a16="http://schemas.microsoft.com/office/drawing/2014/main" id="{00000000-0008-0000-0400-000082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787" name="Check Box 643" hidden="1">
              <a:extLst>
                <a:ext uri="{63B3BB69-23CF-44E3-9099-C40C66FF867C}">
                  <a14:compatExt spid="_x0000_s6787"/>
                </a:ext>
                <a:ext uri="{FF2B5EF4-FFF2-40B4-BE49-F238E27FC236}">
                  <a16:creationId xmlns:a16="http://schemas.microsoft.com/office/drawing/2014/main" id="{00000000-0008-0000-0400-000083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788" name="Check Box 644" hidden="1">
              <a:extLst>
                <a:ext uri="{63B3BB69-23CF-44E3-9099-C40C66FF867C}">
                  <a14:compatExt spid="_x0000_s6788"/>
                </a:ext>
                <a:ext uri="{FF2B5EF4-FFF2-40B4-BE49-F238E27FC236}">
                  <a16:creationId xmlns:a16="http://schemas.microsoft.com/office/drawing/2014/main" id="{00000000-0008-0000-0400-000084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789" name="Check Box 645" hidden="1">
              <a:extLst>
                <a:ext uri="{63B3BB69-23CF-44E3-9099-C40C66FF867C}">
                  <a14:compatExt spid="_x0000_s6789"/>
                </a:ext>
                <a:ext uri="{FF2B5EF4-FFF2-40B4-BE49-F238E27FC236}">
                  <a16:creationId xmlns:a16="http://schemas.microsoft.com/office/drawing/2014/main" id="{00000000-0008-0000-0400-000085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790" name="Check Box 646" hidden="1">
              <a:extLst>
                <a:ext uri="{63B3BB69-23CF-44E3-9099-C40C66FF867C}">
                  <a14:compatExt spid="_x0000_s6790"/>
                </a:ext>
                <a:ext uri="{FF2B5EF4-FFF2-40B4-BE49-F238E27FC236}">
                  <a16:creationId xmlns:a16="http://schemas.microsoft.com/office/drawing/2014/main" id="{00000000-0008-0000-0400-000086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791" name="Check Box 647" hidden="1">
              <a:extLst>
                <a:ext uri="{63B3BB69-23CF-44E3-9099-C40C66FF867C}">
                  <a14:compatExt spid="_x0000_s6791"/>
                </a:ext>
                <a:ext uri="{FF2B5EF4-FFF2-40B4-BE49-F238E27FC236}">
                  <a16:creationId xmlns:a16="http://schemas.microsoft.com/office/drawing/2014/main" id="{00000000-0008-0000-0400-000087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792" name="Check Box 648" hidden="1">
              <a:extLst>
                <a:ext uri="{63B3BB69-23CF-44E3-9099-C40C66FF867C}">
                  <a14:compatExt spid="_x0000_s6792"/>
                </a:ext>
                <a:ext uri="{FF2B5EF4-FFF2-40B4-BE49-F238E27FC236}">
                  <a16:creationId xmlns:a16="http://schemas.microsoft.com/office/drawing/2014/main" id="{00000000-0008-0000-0400-000088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793" name="Check Box 649" hidden="1">
              <a:extLst>
                <a:ext uri="{63B3BB69-23CF-44E3-9099-C40C66FF867C}">
                  <a14:compatExt spid="_x0000_s6793"/>
                </a:ext>
                <a:ext uri="{FF2B5EF4-FFF2-40B4-BE49-F238E27FC236}">
                  <a16:creationId xmlns:a16="http://schemas.microsoft.com/office/drawing/2014/main" id="{00000000-0008-0000-0400-000089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794" name="Check Box 650" hidden="1">
              <a:extLst>
                <a:ext uri="{63B3BB69-23CF-44E3-9099-C40C66FF867C}">
                  <a14:compatExt spid="_x0000_s6794"/>
                </a:ext>
                <a:ext uri="{FF2B5EF4-FFF2-40B4-BE49-F238E27FC236}">
                  <a16:creationId xmlns:a16="http://schemas.microsoft.com/office/drawing/2014/main" id="{00000000-0008-0000-0400-00008A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795" name="Check Box 651" hidden="1">
              <a:extLst>
                <a:ext uri="{63B3BB69-23CF-44E3-9099-C40C66FF867C}">
                  <a14:compatExt spid="_x0000_s6795"/>
                </a:ext>
                <a:ext uri="{FF2B5EF4-FFF2-40B4-BE49-F238E27FC236}">
                  <a16:creationId xmlns:a16="http://schemas.microsoft.com/office/drawing/2014/main" id="{00000000-0008-0000-0400-00008B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796" name="Check Box 652" hidden="1">
              <a:extLst>
                <a:ext uri="{63B3BB69-23CF-44E3-9099-C40C66FF867C}">
                  <a14:compatExt spid="_x0000_s6796"/>
                </a:ext>
                <a:ext uri="{FF2B5EF4-FFF2-40B4-BE49-F238E27FC236}">
                  <a16:creationId xmlns:a16="http://schemas.microsoft.com/office/drawing/2014/main" id="{00000000-0008-0000-0400-00008C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797" name="Check Box 653" hidden="1">
              <a:extLst>
                <a:ext uri="{63B3BB69-23CF-44E3-9099-C40C66FF867C}">
                  <a14:compatExt spid="_x0000_s6797"/>
                </a:ext>
                <a:ext uri="{FF2B5EF4-FFF2-40B4-BE49-F238E27FC236}">
                  <a16:creationId xmlns:a16="http://schemas.microsoft.com/office/drawing/2014/main" id="{00000000-0008-0000-0400-00008D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798" name="Check Box 654" hidden="1">
              <a:extLst>
                <a:ext uri="{63B3BB69-23CF-44E3-9099-C40C66FF867C}">
                  <a14:compatExt spid="_x0000_s6798"/>
                </a:ext>
                <a:ext uri="{FF2B5EF4-FFF2-40B4-BE49-F238E27FC236}">
                  <a16:creationId xmlns:a16="http://schemas.microsoft.com/office/drawing/2014/main" id="{00000000-0008-0000-0400-00008E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799" name="Check Box 655" hidden="1">
              <a:extLst>
                <a:ext uri="{63B3BB69-23CF-44E3-9099-C40C66FF867C}">
                  <a14:compatExt spid="_x0000_s6799"/>
                </a:ext>
                <a:ext uri="{FF2B5EF4-FFF2-40B4-BE49-F238E27FC236}">
                  <a16:creationId xmlns:a16="http://schemas.microsoft.com/office/drawing/2014/main" id="{00000000-0008-0000-0400-00008F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800" name="Check Box 656" hidden="1">
              <a:extLst>
                <a:ext uri="{63B3BB69-23CF-44E3-9099-C40C66FF867C}">
                  <a14:compatExt spid="_x0000_s6800"/>
                </a:ext>
                <a:ext uri="{FF2B5EF4-FFF2-40B4-BE49-F238E27FC236}">
                  <a16:creationId xmlns:a16="http://schemas.microsoft.com/office/drawing/2014/main" id="{00000000-0008-0000-0400-000090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801" name="Check Box 657" hidden="1">
              <a:extLst>
                <a:ext uri="{63B3BB69-23CF-44E3-9099-C40C66FF867C}">
                  <a14:compatExt spid="_x0000_s6801"/>
                </a:ext>
                <a:ext uri="{FF2B5EF4-FFF2-40B4-BE49-F238E27FC236}">
                  <a16:creationId xmlns:a16="http://schemas.microsoft.com/office/drawing/2014/main" id="{00000000-0008-0000-0400-000091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802" name="Check Box 658" hidden="1">
              <a:extLst>
                <a:ext uri="{63B3BB69-23CF-44E3-9099-C40C66FF867C}">
                  <a14:compatExt spid="_x0000_s6802"/>
                </a:ext>
                <a:ext uri="{FF2B5EF4-FFF2-40B4-BE49-F238E27FC236}">
                  <a16:creationId xmlns:a16="http://schemas.microsoft.com/office/drawing/2014/main" id="{00000000-0008-0000-0400-000092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803" name="Check Box 659" hidden="1">
              <a:extLst>
                <a:ext uri="{63B3BB69-23CF-44E3-9099-C40C66FF867C}">
                  <a14:compatExt spid="_x0000_s6803"/>
                </a:ext>
                <a:ext uri="{FF2B5EF4-FFF2-40B4-BE49-F238E27FC236}">
                  <a16:creationId xmlns:a16="http://schemas.microsoft.com/office/drawing/2014/main" id="{00000000-0008-0000-0400-000093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804" name="Check Box 660" hidden="1">
              <a:extLst>
                <a:ext uri="{63B3BB69-23CF-44E3-9099-C40C66FF867C}">
                  <a14:compatExt spid="_x0000_s6804"/>
                </a:ext>
                <a:ext uri="{FF2B5EF4-FFF2-40B4-BE49-F238E27FC236}">
                  <a16:creationId xmlns:a16="http://schemas.microsoft.com/office/drawing/2014/main" id="{00000000-0008-0000-0400-000094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805" name="Check Box 661" hidden="1">
              <a:extLst>
                <a:ext uri="{63B3BB69-23CF-44E3-9099-C40C66FF867C}">
                  <a14:compatExt spid="_x0000_s6805"/>
                </a:ext>
                <a:ext uri="{FF2B5EF4-FFF2-40B4-BE49-F238E27FC236}">
                  <a16:creationId xmlns:a16="http://schemas.microsoft.com/office/drawing/2014/main" id="{00000000-0008-0000-0400-000095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806" name="Check Box 662" hidden="1">
              <a:extLst>
                <a:ext uri="{63B3BB69-23CF-44E3-9099-C40C66FF867C}">
                  <a14:compatExt spid="_x0000_s6806"/>
                </a:ext>
                <a:ext uri="{FF2B5EF4-FFF2-40B4-BE49-F238E27FC236}">
                  <a16:creationId xmlns:a16="http://schemas.microsoft.com/office/drawing/2014/main" id="{00000000-0008-0000-0400-000096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807" name="Check Box 663" hidden="1">
              <a:extLst>
                <a:ext uri="{63B3BB69-23CF-44E3-9099-C40C66FF867C}">
                  <a14:compatExt spid="_x0000_s6807"/>
                </a:ext>
                <a:ext uri="{FF2B5EF4-FFF2-40B4-BE49-F238E27FC236}">
                  <a16:creationId xmlns:a16="http://schemas.microsoft.com/office/drawing/2014/main" id="{00000000-0008-0000-0400-000097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808" name="Check Box 664" hidden="1">
              <a:extLst>
                <a:ext uri="{63B3BB69-23CF-44E3-9099-C40C66FF867C}">
                  <a14:compatExt spid="_x0000_s6808"/>
                </a:ext>
                <a:ext uri="{FF2B5EF4-FFF2-40B4-BE49-F238E27FC236}">
                  <a16:creationId xmlns:a16="http://schemas.microsoft.com/office/drawing/2014/main" id="{00000000-0008-0000-0400-000098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809" name="Check Box 665" hidden="1">
              <a:extLst>
                <a:ext uri="{63B3BB69-23CF-44E3-9099-C40C66FF867C}">
                  <a14:compatExt spid="_x0000_s6809"/>
                </a:ext>
                <a:ext uri="{FF2B5EF4-FFF2-40B4-BE49-F238E27FC236}">
                  <a16:creationId xmlns:a16="http://schemas.microsoft.com/office/drawing/2014/main" id="{00000000-0008-0000-0400-000099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810" name="Check Box 666" hidden="1">
              <a:extLst>
                <a:ext uri="{63B3BB69-23CF-44E3-9099-C40C66FF867C}">
                  <a14:compatExt spid="_x0000_s6810"/>
                </a:ext>
                <a:ext uri="{FF2B5EF4-FFF2-40B4-BE49-F238E27FC236}">
                  <a16:creationId xmlns:a16="http://schemas.microsoft.com/office/drawing/2014/main" id="{00000000-0008-0000-0400-00009A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811" name="Check Box 667" hidden="1">
              <a:extLst>
                <a:ext uri="{63B3BB69-23CF-44E3-9099-C40C66FF867C}">
                  <a14:compatExt spid="_x0000_s6811"/>
                </a:ext>
                <a:ext uri="{FF2B5EF4-FFF2-40B4-BE49-F238E27FC236}">
                  <a16:creationId xmlns:a16="http://schemas.microsoft.com/office/drawing/2014/main" id="{00000000-0008-0000-0400-00009B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812" name="Check Box 668" hidden="1">
              <a:extLst>
                <a:ext uri="{63B3BB69-23CF-44E3-9099-C40C66FF867C}">
                  <a14:compatExt spid="_x0000_s6812"/>
                </a:ext>
                <a:ext uri="{FF2B5EF4-FFF2-40B4-BE49-F238E27FC236}">
                  <a16:creationId xmlns:a16="http://schemas.microsoft.com/office/drawing/2014/main" id="{00000000-0008-0000-0400-00009C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813" name="Check Box 669" hidden="1">
              <a:extLst>
                <a:ext uri="{63B3BB69-23CF-44E3-9099-C40C66FF867C}">
                  <a14:compatExt spid="_x0000_s6813"/>
                </a:ext>
                <a:ext uri="{FF2B5EF4-FFF2-40B4-BE49-F238E27FC236}">
                  <a16:creationId xmlns:a16="http://schemas.microsoft.com/office/drawing/2014/main" id="{00000000-0008-0000-0400-00009D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814" name="Check Box 670" hidden="1">
              <a:extLst>
                <a:ext uri="{63B3BB69-23CF-44E3-9099-C40C66FF867C}">
                  <a14:compatExt spid="_x0000_s6814"/>
                </a:ext>
                <a:ext uri="{FF2B5EF4-FFF2-40B4-BE49-F238E27FC236}">
                  <a16:creationId xmlns:a16="http://schemas.microsoft.com/office/drawing/2014/main" id="{00000000-0008-0000-0400-00009E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815" name="Check Box 671" hidden="1">
              <a:extLst>
                <a:ext uri="{63B3BB69-23CF-44E3-9099-C40C66FF867C}">
                  <a14:compatExt spid="_x0000_s6815"/>
                </a:ext>
                <a:ext uri="{FF2B5EF4-FFF2-40B4-BE49-F238E27FC236}">
                  <a16:creationId xmlns:a16="http://schemas.microsoft.com/office/drawing/2014/main" id="{00000000-0008-0000-0400-00009F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816" name="Check Box 672" hidden="1">
              <a:extLst>
                <a:ext uri="{63B3BB69-23CF-44E3-9099-C40C66FF867C}">
                  <a14:compatExt spid="_x0000_s6816"/>
                </a:ext>
                <a:ext uri="{FF2B5EF4-FFF2-40B4-BE49-F238E27FC236}">
                  <a16:creationId xmlns:a16="http://schemas.microsoft.com/office/drawing/2014/main" id="{00000000-0008-0000-0400-0000A0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817" name="Check Box 673" hidden="1">
              <a:extLst>
                <a:ext uri="{63B3BB69-23CF-44E3-9099-C40C66FF867C}">
                  <a14:compatExt spid="_x0000_s6817"/>
                </a:ext>
                <a:ext uri="{FF2B5EF4-FFF2-40B4-BE49-F238E27FC236}">
                  <a16:creationId xmlns:a16="http://schemas.microsoft.com/office/drawing/2014/main" id="{00000000-0008-0000-0400-0000A1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818" name="Check Box 674" hidden="1">
              <a:extLst>
                <a:ext uri="{63B3BB69-23CF-44E3-9099-C40C66FF867C}">
                  <a14:compatExt spid="_x0000_s6818"/>
                </a:ext>
                <a:ext uri="{FF2B5EF4-FFF2-40B4-BE49-F238E27FC236}">
                  <a16:creationId xmlns:a16="http://schemas.microsoft.com/office/drawing/2014/main" id="{00000000-0008-0000-0400-0000A2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819" name="Check Box 675" hidden="1">
              <a:extLst>
                <a:ext uri="{63B3BB69-23CF-44E3-9099-C40C66FF867C}">
                  <a14:compatExt spid="_x0000_s6819"/>
                </a:ext>
                <a:ext uri="{FF2B5EF4-FFF2-40B4-BE49-F238E27FC236}">
                  <a16:creationId xmlns:a16="http://schemas.microsoft.com/office/drawing/2014/main" id="{00000000-0008-0000-0400-0000A3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820" name="Check Box 676" hidden="1">
              <a:extLst>
                <a:ext uri="{63B3BB69-23CF-44E3-9099-C40C66FF867C}">
                  <a14:compatExt spid="_x0000_s6820"/>
                </a:ext>
                <a:ext uri="{FF2B5EF4-FFF2-40B4-BE49-F238E27FC236}">
                  <a16:creationId xmlns:a16="http://schemas.microsoft.com/office/drawing/2014/main" id="{00000000-0008-0000-0400-0000A4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821" name="Check Box 677" hidden="1">
              <a:extLst>
                <a:ext uri="{63B3BB69-23CF-44E3-9099-C40C66FF867C}">
                  <a14:compatExt spid="_x0000_s6821"/>
                </a:ext>
                <a:ext uri="{FF2B5EF4-FFF2-40B4-BE49-F238E27FC236}">
                  <a16:creationId xmlns:a16="http://schemas.microsoft.com/office/drawing/2014/main" id="{00000000-0008-0000-0400-0000A5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822" name="Check Box 678" hidden="1">
              <a:extLst>
                <a:ext uri="{63B3BB69-23CF-44E3-9099-C40C66FF867C}">
                  <a14:compatExt spid="_x0000_s6822"/>
                </a:ext>
                <a:ext uri="{FF2B5EF4-FFF2-40B4-BE49-F238E27FC236}">
                  <a16:creationId xmlns:a16="http://schemas.microsoft.com/office/drawing/2014/main" id="{00000000-0008-0000-0400-0000A6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823" name="Check Box 679" hidden="1">
              <a:extLst>
                <a:ext uri="{63B3BB69-23CF-44E3-9099-C40C66FF867C}">
                  <a14:compatExt spid="_x0000_s6823"/>
                </a:ext>
                <a:ext uri="{FF2B5EF4-FFF2-40B4-BE49-F238E27FC236}">
                  <a16:creationId xmlns:a16="http://schemas.microsoft.com/office/drawing/2014/main" id="{00000000-0008-0000-0400-0000A7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824" name="Check Box 680" hidden="1">
              <a:extLst>
                <a:ext uri="{63B3BB69-23CF-44E3-9099-C40C66FF867C}">
                  <a14:compatExt spid="_x0000_s6824"/>
                </a:ext>
                <a:ext uri="{FF2B5EF4-FFF2-40B4-BE49-F238E27FC236}">
                  <a16:creationId xmlns:a16="http://schemas.microsoft.com/office/drawing/2014/main" id="{00000000-0008-0000-0400-0000A8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825" name="Check Box 681" hidden="1">
              <a:extLst>
                <a:ext uri="{63B3BB69-23CF-44E3-9099-C40C66FF867C}">
                  <a14:compatExt spid="_x0000_s6825"/>
                </a:ext>
                <a:ext uri="{FF2B5EF4-FFF2-40B4-BE49-F238E27FC236}">
                  <a16:creationId xmlns:a16="http://schemas.microsoft.com/office/drawing/2014/main" id="{00000000-0008-0000-0400-0000A9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826" name="Check Box 682" hidden="1">
              <a:extLst>
                <a:ext uri="{63B3BB69-23CF-44E3-9099-C40C66FF867C}">
                  <a14:compatExt spid="_x0000_s6826"/>
                </a:ext>
                <a:ext uri="{FF2B5EF4-FFF2-40B4-BE49-F238E27FC236}">
                  <a16:creationId xmlns:a16="http://schemas.microsoft.com/office/drawing/2014/main" id="{00000000-0008-0000-0400-0000AA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827" name="Check Box 683" hidden="1">
              <a:extLst>
                <a:ext uri="{63B3BB69-23CF-44E3-9099-C40C66FF867C}">
                  <a14:compatExt spid="_x0000_s6827"/>
                </a:ext>
                <a:ext uri="{FF2B5EF4-FFF2-40B4-BE49-F238E27FC236}">
                  <a16:creationId xmlns:a16="http://schemas.microsoft.com/office/drawing/2014/main" id="{00000000-0008-0000-0400-0000AB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828" name="Check Box 684" hidden="1">
              <a:extLst>
                <a:ext uri="{63B3BB69-23CF-44E3-9099-C40C66FF867C}">
                  <a14:compatExt spid="_x0000_s6828"/>
                </a:ext>
                <a:ext uri="{FF2B5EF4-FFF2-40B4-BE49-F238E27FC236}">
                  <a16:creationId xmlns:a16="http://schemas.microsoft.com/office/drawing/2014/main" id="{00000000-0008-0000-0400-0000AC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829" name="Check Box 685" hidden="1">
              <a:extLst>
                <a:ext uri="{63B3BB69-23CF-44E3-9099-C40C66FF867C}">
                  <a14:compatExt spid="_x0000_s6829"/>
                </a:ext>
                <a:ext uri="{FF2B5EF4-FFF2-40B4-BE49-F238E27FC236}">
                  <a16:creationId xmlns:a16="http://schemas.microsoft.com/office/drawing/2014/main" id="{00000000-0008-0000-0400-0000AD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830" name="Check Box 686" hidden="1">
              <a:extLst>
                <a:ext uri="{63B3BB69-23CF-44E3-9099-C40C66FF867C}">
                  <a14:compatExt spid="_x0000_s6830"/>
                </a:ext>
                <a:ext uri="{FF2B5EF4-FFF2-40B4-BE49-F238E27FC236}">
                  <a16:creationId xmlns:a16="http://schemas.microsoft.com/office/drawing/2014/main" id="{00000000-0008-0000-0400-0000AE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831" name="Check Box 687" hidden="1">
              <a:extLst>
                <a:ext uri="{63B3BB69-23CF-44E3-9099-C40C66FF867C}">
                  <a14:compatExt spid="_x0000_s6831"/>
                </a:ext>
                <a:ext uri="{FF2B5EF4-FFF2-40B4-BE49-F238E27FC236}">
                  <a16:creationId xmlns:a16="http://schemas.microsoft.com/office/drawing/2014/main" id="{00000000-0008-0000-0400-0000AF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832" name="Check Box 688" hidden="1">
              <a:extLst>
                <a:ext uri="{63B3BB69-23CF-44E3-9099-C40C66FF867C}">
                  <a14:compatExt spid="_x0000_s6832"/>
                </a:ext>
                <a:ext uri="{FF2B5EF4-FFF2-40B4-BE49-F238E27FC236}">
                  <a16:creationId xmlns:a16="http://schemas.microsoft.com/office/drawing/2014/main" id="{00000000-0008-0000-0400-0000B0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833" name="Check Box 689" hidden="1">
              <a:extLst>
                <a:ext uri="{63B3BB69-23CF-44E3-9099-C40C66FF867C}">
                  <a14:compatExt spid="_x0000_s6833"/>
                </a:ext>
                <a:ext uri="{FF2B5EF4-FFF2-40B4-BE49-F238E27FC236}">
                  <a16:creationId xmlns:a16="http://schemas.microsoft.com/office/drawing/2014/main" id="{00000000-0008-0000-0400-0000B1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834" name="Check Box 690" hidden="1">
              <a:extLst>
                <a:ext uri="{63B3BB69-23CF-44E3-9099-C40C66FF867C}">
                  <a14:compatExt spid="_x0000_s6834"/>
                </a:ext>
                <a:ext uri="{FF2B5EF4-FFF2-40B4-BE49-F238E27FC236}">
                  <a16:creationId xmlns:a16="http://schemas.microsoft.com/office/drawing/2014/main" id="{00000000-0008-0000-0400-0000B2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835" name="Check Box 691" hidden="1">
              <a:extLst>
                <a:ext uri="{63B3BB69-23CF-44E3-9099-C40C66FF867C}">
                  <a14:compatExt spid="_x0000_s6835"/>
                </a:ext>
                <a:ext uri="{FF2B5EF4-FFF2-40B4-BE49-F238E27FC236}">
                  <a16:creationId xmlns:a16="http://schemas.microsoft.com/office/drawing/2014/main" id="{00000000-0008-0000-0400-0000B3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836" name="Check Box 692" hidden="1">
              <a:extLst>
                <a:ext uri="{63B3BB69-23CF-44E3-9099-C40C66FF867C}">
                  <a14:compatExt spid="_x0000_s6836"/>
                </a:ext>
                <a:ext uri="{FF2B5EF4-FFF2-40B4-BE49-F238E27FC236}">
                  <a16:creationId xmlns:a16="http://schemas.microsoft.com/office/drawing/2014/main" id="{00000000-0008-0000-0400-0000B4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837" name="Check Box 693" hidden="1">
              <a:extLst>
                <a:ext uri="{63B3BB69-23CF-44E3-9099-C40C66FF867C}">
                  <a14:compatExt spid="_x0000_s6837"/>
                </a:ext>
                <a:ext uri="{FF2B5EF4-FFF2-40B4-BE49-F238E27FC236}">
                  <a16:creationId xmlns:a16="http://schemas.microsoft.com/office/drawing/2014/main" id="{00000000-0008-0000-0400-0000B5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838" name="Check Box 694" hidden="1">
              <a:extLst>
                <a:ext uri="{63B3BB69-23CF-44E3-9099-C40C66FF867C}">
                  <a14:compatExt spid="_x0000_s6838"/>
                </a:ext>
                <a:ext uri="{FF2B5EF4-FFF2-40B4-BE49-F238E27FC236}">
                  <a16:creationId xmlns:a16="http://schemas.microsoft.com/office/drawing/2014/main" id="{00000000-0008-0000-0400-0000B6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839" name="Check Box 695" hidden="1">
              <a:extLst>
                <a:ext uri="{63B3BB69-23CF-44E3-9099-C40C66FF867C}">
                  <a14:compatExt spid="_x0000_s6839"/>
                </a:ext>
                <a:ext uri="{FF2B5EF4-FFF2-40B4-BE49-F238E27FC236}">
                  <a16:creationId xmlns:a16="http://schemas.microsoft.com/office/drawing/2014/main" id="{00000000-0008-0000-0400-0000B7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840" name="Check Box 696" hidden="1">
              <a:extLst>
                <a:ext uri="{63B3BB69-23CF-44E3-9099-C40C66FF867C}">
                  <a14:compatExt spid="_x0000_s6840"/>
                </a:ext>
                <a:ext uri="{FF2B5EF4-FFF2-40B4-BE49-F238E27FC236}">
                  <a16:creationId xmlns:a16="http://schemas.microsoft.com/office/drawing/2014/main" id="{00000000-0008-0000-0400-0000B8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841" name="Check Box 697" hidden="1">
              <a:extLst>
                <a:ext uri="{63B3BB69-23CF-44E3-9099-C40C66FF867C}">
                  <a14:compatExt spid="_x0000_s6841"/>
                </a:ext>
                <a:ext uri="{FF2B5EF4-FFF2-40B4-BE49-F238E27FC236}">
                  <a16:creationId xmlns:a16="http://schemas.microsoft.com/office/drawing/2014/main" id="{00000000-0008-0000-0400-0000B9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842" name="Check Box 698" hidden="1">
              <a:extLst>
                <a:ext uri="{63B3BB69-23CF-44E3-9099-C40C66FF867C}">
                  <a14:compatExt spid="_x0000_s6842"/>
                </a:ext>
                <a:ext uri="{FF2B5EF4-FFF2-40B4-BE49-F238E27FC236}">
                  <a16:creationId xmlns:a16="http://schemas.microsoft.com/office/drawing/2014/main" id="{00000000-0008-0000-0400-0000BA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843" name="Check Box 699" hidden="1">
              <a:extLst>
                <a:ext uri="{63B3BB69-23CF-44E3-9099-C40C66FF867C}">
                  <a14:compatExt spid="_x0000_s6843"/>
                </a:ext>
                <a:ext uri="{FF2B5EF4-FFF2-40B4-BE49-F238E27FC236}">
                  <a16:creationId xmlns:a16="http://schemas.microsoft.com/office/drawing/2014/main" id="{00000000-0008-0000-0400-0000BB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844" name="Check Box 700" hidden="1">
              <a:extLst>
                <a:ext uri="{63B3BB69-23CF-44E3-9099-C40C66FF867C}">
                  <a14:compatExt spid="_x0000_s6844"/>
                </a:ext>
                <a:ext uri="{FF2B5EF4-FFF2-40B4-BE49-F238E27FC236}">
                  <a16:creationId xmlns:a16="http://schemas.microsoft.com/office/drawing/2014/main" id="{00000000-0008-0000-0400-0000BC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845" name="Check Box 701" hidden="1">
              <a:extLst>
                <a:ext uri="{63B3BB69-23CF-44E3-9099-C40C66FF867C}">
                  <a14:compatExt spid="_x0000_s6845"/>
                </a:ext>
                <a:ext uri="{FF2B5EF4-FFF2-40B4-BE49-F238E27FC236}">
                  <a16:creationId xmlns:a16="http://schemas.microsoft.com/office/drawing/2014/main" id="{00000000-0008-0000-0400-0000BD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846" name="Check Box 702" hidden="1">
              <a:extLst>
                <a:ext uri="{63B3BB69-23CF-44E3-9099-C40C66FF867C}">
                  <a14:compatExt spid="_x0000_s6846"/>
                </a:ext>
                <a:ext uri="{FF2B5EF4-FFF2-40B4-BE49-F238E27FC236}">
                  <a16:creationId xmlns:a16="http://schemas.microsoft.com/office/drawing/2014/main" id="{00000000-0008-0000-0400-0000BE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847" name="Check Box 703" hidden="1">
              <a:extLst>
                <a:ext uri="{63B3BB69-23CF-44E3-9099-C40C66FF867C}">
                  <a14:compatExt spid="_x0000_s6847"/>
                </a:ext>
                <a:ext uri="{FF2B5EF4-FFF2-40B4-BE49-F238E27FC236}">
                  <a16:creationId xmlns:a16="http://schemas.microsoft.com/office/drawing/2014/main" id="{00000000-0008-0000-0400-0000BF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848" name="Check Box 704" hidden="1">
              <a:extLst>
                <a:ext uri="{63B3BB69-23CF-44E3-9099-C40C66FF867C}">
                  <a14:compatExt spid="_x0000_s6848"/>
                </a:ext>
                <a:ext uri="{FF2B5EF4-FFF2-40B4-BE49-F238E27FC236}">
                  <a16:creationId xmlns:a16="http://schemas.microsoft.com/office/drawing/2014/main" id="{00000000-0008-0000-0400-0000C0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849" name="Check Box 705" hidden="1">
              <a:extLst>
                <a:ext uri="{63B3BB69-23CF-44E3-9099-C40C66FF867C}">
                  <a14:compatExt spid="_x0000_s6849"/>
                </a:ext>
                <a:ext uri="{FF2B5EF4-FFF2-40B4-BE49-F238E27FC236}">
                  <a16:creationId xmlns:a16="http://schemas.microsoft.com/office/drawing/2014/main" id="{00000000-0008-0000-0400-0000C1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850" name="Check Box 706" hidden="1">
              <a:extLst>
                <a:ext uri="{63B3BB69-23CF-44E3-9099-C40C66FF867C}">
                  <a14:compatExt spid="_x0000_s6850"/>
                </a:ext>
                <a:ext uri="{FF2B5EF4-FFF2-40B4-BE49-F238E27FC236}">
                  <a16:creationId xmlns:a16="http://schemas.microsoft.com/office/drawing/2014/main" id="{00000000-0008-0000-0400-0000C2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851" name="Check Box 707" hidden="1">
              <a:extLst>
                <a:ext uri="{63B3BB69-23CF-44E3-9099-C40C66FF867C}">
                  <a14:compatExt spid="_x0000_s6851"/>
                </a:ext>
                <a:ext uri="{FF2B5EF4-FFF2-40B4-BE49-F238E27FC236}">
                  <a16:creationId xmlns:a16="http://schemas.microsoft.com/office/drawing/2014/main" id="{00000000-0008-0000-0400-0000C3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852" name="Check Box 708" hidden="1">
              <a:extLst>
                <a:ext uri="{63B3BB69-23CF-44E3-9099-C40C66FF867C}">
                  <a14:compatExt spid="_x0000_s6852"/>
                </a:ext>
                <a:ext uri="{FF2B5EF4-FFF2-40B4-BE49-F238E27FC236}">
                  <a16:creationId xmlns:a16="http://schemas.microsoft.com/office/drawing/2014/main" id="{00000000-0008-0000-0400-0000C4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853" name="Check Box 709" hidden="1">
              <a:extLst>
                <a:ext uri="{63B3BB69-23CF-44E3-9099-C40C66FF867C}">
                  <a14:compatExt spid="_x0000_s6853"/>
                </a:ext>
                <a:ext uri="{FF2B5EF4-FFF2-40B4-BE49-F238E27FC236}">
                  <a16:creationId xmlns:a16="http://schemas.microsoft.com/office/drawing/2014/main" id="{00000000-0008-0000-0400-0000C5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854" name="Check Box 710" hidden="1">
              <a:extLst>
                <a:ext uri="{63B3BB69-23CF-44E3-9099-C40C66FF867C}">
                  <a14:compatExt spid="_x0000_s6854"/>
                </a:ext>
                <a:ext uri="{FF2B5EF4-FFF2-40B4-BE49-F238E27FC236}">
                  <a16:creationId xmlns:a16="http://schemas.microsoft.com/office/drawing/2014/main" id="{00000000-0008-0000-0400-0000C6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855" name="Check Box 711" hidden="1">
              <a:extLst>
                <a:ext uri="{63B3BB69-23CF-44E3-9099-C40C66FF867C}">
                  <a14:compatExt spid="_x0000_s6855"/>
                </a:ext>
                <a:ext uri="{FF2B5EF4-FFF2-40B4-BE49-F238E27FC236}">
                  <a16:creationId xmlns:a16="http://schemas.microsoft.com/office/drawing/2014/main" id="{00000000-0008-0000-0400-0000C7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856" name="Check Box 712" hidden="1">
              <a:extLst>
                <a:ext uri="{63B3BB69-23CF-44E3-9099-C40C66FF867C}">
                  <a14:compatExt spid="_x0000_s6856"/>
                </a:ext>
                <a:ext uri="{FF2B5EF4-FFF2-40B4-BE49-F238E27FC236}">
                  <a16:creationId xmlns:a16="http://schemas.microsoft.com/office/drawing/2014/main" id="{00000000-0008-0000-0400-0000C8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857" name="Check Box 713" hidden="1">
              <a:extLst>
                <a:ext uri="{63B3BB69-23CF-44E3-9099-C40C66FF867C}">
                  <a14:compatExt spid="_x0000_s6857"/>
                </a:ext>
                <a:ext uri="{FF2B5EF4-FFF2-40B4-BE49-F238E27FC236}">
                  <a16:creationId xmlns:a16="http://schemas.microsoft.com/office/drawing/2014/main" id="{00000000-0008-0000-0400-0000C9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858" name="Check Box 714" hidden="1">
              <a:extLst>
                <a:ext uri="{63B3BB69-23CF-44E3-9099-C40C66FF867C}">
                  <a14:compatExt spid="_x0000_s6858"/>
                </a:ext>
                <a:ext uri="{FF2B5EF4-FFF2-40B4-BE49-F238E27FC236}">
                  <a16:creationId xmlns:a16="http://schemas.microsoft.com/office/drawing/2014/main" id="{00000000-0008-0000-0400-0000CA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859" name="Check Box 715" hidden="1">
              <a:extLst>
                <a:ext uri="{63B3BB69-23CF-44E3-9099-C40C66FF867C}">
                  <a14:compatExt spid="_x0000_s6859"/>
                </a:ext>
                <a:ext uri="{FF2B5EF4-FFF2-40B4-BE49-F238E27FC236}">
                  <a16:creationId xmlns:a16="http://schemas.microsoft.com/office/drawing/2014/main" id="{00000000-0008-0000-0400-0000CB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860" name="Check Box 716" hidden="1">
              <a:extLst>
                <a:ext uri="{63B3BB69-23CF-44E3-9099-C40C66FF867C}">
                  <a14:compatExt spid="_x0000_s6860"/>
                </a:ext>
                <a:ext uri="{FF2B5EF4-FFF2-40B4-BE49-F238E27FC236}">
                  <a16:creationId xmlns:a16="http://schemas.microsoft.com/office/drawing/2014/main" id="{00000000-0008-0000-0400-0000CC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861" name="Check Box 717" hidden="1">
              <a:extLst>
                <a:ext uri="{63B3BB69-23CF-44E3-9099-C40C66FF867C}">
                  <a14:compatExt spid="_x0000_s6861"/>
                </a:ext>
                <a:ext uri="{FF2B5EF4-FFF2-40B4-BE49-F238E27FC236}">
                  <a16:creationId xmlns:a16="http://schemas.microsoft.com/office/drawing/2014/main" id="{00000000-0008-0000-0400-0000CD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862" name="Check Box 718" hidden="1">
              <a:extLst>
                <a:ext uri="{63B3BB69-23CF-44E3-9099-C40C66FF867C}">
                  <a14:compatExt spid="_x0000_s6862"/>
                </a:ext>
                <a:ext uri="{FF2B5EF4-FFF2-40B4-BE49-F238E27FC236}">
                  <a16:creationId xmlns:a16="http://schemas.microsoft.com/office/drawing/2014/main" id="{00000000-0008-0000-0400-0000CE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863" name="Check Box 719" hidden="1">
              <a:extLst>
                <a:ext uri="{63B3BB69-23CF-44E3-9099-C40C66FF867C}">
                  <a14:compatExt spid="_x0000_s6863"/>
                </a:ext>
                <a:ext uri="{FF2B5EF4-FFF2-40B4-BE49-F238E27FC236}">
                  <a16:creationId xmlns:a16="http://schemas.microsoft.com/office/drawing/2014/main" id="{00000000-0008-0000-0400-0000CF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864" name="Check Box 720" hidden="1">
              <a:extLst>
                <a:ext uri="{63B3BB69-23CF-44E3-9099-C40C66FF867C}">
                  <a14:compatExt spid="_x0000_s6864"/>
                </a:ext>
                <a:ext uri="{FF2B5EF4-FFF2-40B4-BE49-F238E27FC236}">
                  <a16:creationId xmlns:a16="http://schemas.microsoft.com/office/drawing/2014/main" id="{00000000-0008-0000-0400-0000D0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865" name="Check Box 721" hidden="1">
              <a:extLst>
                <a:ext uri="{63B3BB69-23CF-44E3-9099-C40C66FF867C}">
                  <a14:compatExt spid="_x0000_s6865"/>
                </a:ext>
                <a:ext uri="{FF2B5EF4-FFF2-40B4-BE49-F238E27FC236}">
                  <a16:creationId xmlns:a16="http://schemas.microsoft.com/office/drawing/2014/main" id="{00000000-0008-0000-0400-0000D1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866" name="Check Box 722" hidden="1">
              <a:extLst>
                <a:ext uri="{63B3BB69-23CF-44E3-9099-C40C66FF867C}">
                  <a14:compatExt spid="_x0000_s6866"/>
                </a:ext>
                <a:ext uri="{FF2B5EF4-FFF2-40B4-BE49-F238E27FC236}">
                  <a16:creationId xmlns:a16="http://schemas.microsoft.com/office/drawing/2014/main" id="{00000000-0008-0000-0400-0000D2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867" name="Check Box 723" hidden="1">
              <a:extLst>
                <a:ext uri="{63B3BB69-23CF-44E3-9099-C40C66FF867C}">
                  <a14:compatExt spid="_x0000_s6867"/>
                </a:ext>
                <a:ext uri="{FF2B5EF4-FFF2-40B4-BE49-F238E27FC236}">
                  <a16:creationId xmlns:a16="http://schemas.microsoft.com/office/drawing/2014/main" id="{00000000-0008-0000-0400-0000D3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868" name="Check Box 724" hidden="1">
              <a:extLst>
                <a:ext uri="{63B3BB69-23CF-44E3-9099-C40C66FF867C}">
                  <a14:compatExt spid="_x0000_s6868"/>
                </a:ext>
                <a:ext uri="{FF2B5EF4-FFF2-40B4-BE49-F238E27FC236}">
                  <a16:creationId xmlns:a16="http://schemas.microsoft.com/office/drawing/2014/main" id="{00000000-0008-0000-0400-0000D4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869" name="Check Box 725" hidden="1">
              <a:extLst>
                <a:ext uri="{63B3BB69-23CF-44E3-9099-C40C66FF867C}">
                  <a14:compatExt spid="_x0000_s6869"/>
                </a:ext>
                <a:ext uri="{FF2B5EF4-FFF2-40B4-BE49-F238E27FC236}">
                  <a16:creationId xmlns:a16="http://schemas.microsoft.com/office/drawing/2014/main" id="{00000000-0008-0000-0400-0000D5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870" name="Check Box 726" hidden="1">
              <a:extLst>
                <a:ext uri="{63B3BB69-23CF-44E3-9099-C40C66FF867C}">
                  <a14:compatExt spid="_x0000_s6870"/>
                </a:ext>
                <a:ext uri="{FF2B5EF4-FFF2-40B4-BE49-F238E27FC236}">
                  <a16:creationId xmlns:a16="http://schemas.microsoft.com/office/drawing/2014/main" id="{00000000-0008-0000-0400-0000D6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871" name="Check Box 727" hidden="1">
              <a:extLst>
                <a:ext uri="{63B3BB69-23CF-44E3-9099-C40C66FF867C}">
                  <a14:compatExt spid="_x0000_s6871"/>
                </a:ext>
                <a:ext uri="{FF2B5EF4-FFF2-40B4-BE49-F238E27FC236}">
                  <a16:creationId xmlns:a16="http://schemas.microsoft.com/office/drawing/2014/main" id="{00000000-0008-0000-0400-0000D7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872" name="Check Box 728" hidden="1">
              <a:extLst>
                <a:ext uri="{63B3BB69-23CF-44E3-9099-C40C66FF867C}">
                  <a14:compatExt spid="_x0000_s6872"/>
                </a:ext>
                <a:ext uri="{FF2B5EF4-FFF2-40B4-BE49-F238E27FC236}">
                  <a16:creationId xmlns:a16="http://schemas.microsoft.com/office/drawing/2014/main" id="{00000000-0008-0000-0400-0000D8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873" name="Check Box 729" hidden="1">
              <a:extLst>
                <a:ext uri="{63B3BB69-23CF-44E3-9099-C40C66FF867C}">
                  <a14:compatExt spid="_x0000_s6873"/>
                </a:ext>
                <a:ext uri="{FF2B5EF4-FFF2-40B4-BE49-F238E27FC236}">
                  <a16:creationId xmlns:a16="http://schemas.microsoft.com/office/drawing/2014/main" id="{00000000-0008-0000-0400-0000D9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874" name="Check Box 730" hidden="1">
              <a:extLst>
                <a:ext uri="{63B3BB69-23CF-44E3-9099-C40C66FF867C}">
                  <a14:compatExt spid="_x0000_s6874"/>
                </a:ext>
                <a:ext uri="{FF2B5EF4-FFF2-40B4-BE49-F238E27FC236}">
                  <a16:creationId xmlns:a16="http://schemas.microsoft.com/office/drawing/2014/main" id="{00000000-0008-0000-0400-0000DA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875" name="Check Box 731" hidden="1">
              <a:extLst>
                <a:ext uri="{63B3BB69-23CF-44E3-9099-C40C66FF867C}">
                  <a14:compatExt spid="_x0000_s6875"/>
                </a:ext>
                <a:ext uri="{FF2B5EF4-FFF2-40B4-BE49-F238E27FC236}">
                  <a16:creationId xmlns:a16="http://schemas.microsoft.com/office/drawing/2014/main" id="{00000000-0008-0000-0400-0000DB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876" name="Check Box 732" hidden="1">
              <a:extLst>
                <a:ext uri="{63B3BB69-23CF-44E3-9099-C40C66FF867C}">
                  <a14:compatExt spid="_x0000_s6876"/>
                </a:ext>
                <a:ext uri="{FF2B5EF4-FFF2-40B4-BE49-F238E27FC236}">
                  <a16:creationId xmlns:a16="http://schemas.microsoft.com/office/drawing/2014/main" id="{00000000-0008-0000-0400-0000DC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877" name="Check Box 733" hidden="1">
              <a:extLst>
                <a:ext uri="{63B3BB69-23CF-44E3-9099-C40C66FF867C}">
                  <a14:compatExt spid="_x0000_s6877"/>
                </a:ext>
                <a:ext uri="{FF2B5EF4-FFF2-40B4-BE49-F238E27FC236}">
                  <a16:creationId xmlns:a16="http://schemas.microsoft.com/office/drawing/2014/main" id="{00000000-0008-0000-0400-0000DD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878" name="Check Box 734" hidden="1">
              <a:extLst>
                <a:ext uri="{63B3BB69-23CF-44E3-9099-C40C66FF867C}">
                  <a14:compatExt spid="_x0000_s6878"/>
                </a:ext>
                <a:ext uri="{FF2B5EF4-FFF2-40B4-BE49-F238E27FC236}">
                  <a16:creationId xmlns:a16="http://schemas.microsoft.com/office/drawing/2014/main" id="{00000000-0008-0000-0400-0000DE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879" name="Check Box 735" hidden="1">
              <a:extLst>
                <a:ext uri="{63B3BB69-23CF-44E3-9099-C40C66FF867C}">
                  <a14:compatExt spid="_x0000_s6879"/>
                </a:ext>
                <a:ext uri="{FF2B5EF4-FFF2-40B4-BE49-F238E27FC236}">
                  <a16:creationId xmlns:a16="http://schemas.microsoft.com/office/drawing/2014/main" id="{00000000-0008-0000-0400-0000DF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880" name="Check Box 736" hidden="1">
              <a:extLst>
                <a:ext uri="{63B3BB69-23CF-44E3-9099-C40C66FF867C}">
                  <a14:compatExt spid="_x0000_s6880"/>
                </a:ext>
                <a:ext uri="{FF2B5EF4-FFF2-40B4-BE49-F238E27FC236}">
                  <a16:creationId xmlns:a16="http://schemas.microsoft.com/office/drawing/2014/main" id="{00000000-0008-0000-0400-0000E0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881" name="Check Box 737" hidden="1">
              <a:extLst>
                <a:ext uri="{63B3BB69-23CF-44E3-9099-C40C66FF867C}">
                  <a14:compatExt spid="_x0000_s6881"/>
                </a:ext>
                <a:ext uri="{FF2B5EF4-FFF2-40B4-BE49-F238E27FC236}">
                  <a16:creationId xmlns:a16="http://schemas.microsoft.com/office/drawing/2014/main" id="{00000000-0008-0000-0400-0000E1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882" name="Check Box 738" hidden="1">
              <a:extLst>
                <a:ext uri="{63B3BB69-23CF-44E3-9099-C40C66FF867C}">
                  <a14:compatExt spid="_x0000_s6882"/>
                </a:ext>
                <a:ext uri="{FF2B5EF4-FFF2-40B4-BE49-F238E27FC236}">
                  <a16:creationId xmlns:a16="http://schemas.microsoft.com/office/drawing/2014/main" id="{00000000-0008-0000-0400-0000E2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883" name="Check Box 739" hidden="1">
              <a:extLst>
                <a:ext uri="{63B3BB69-23CF-44E3-9099-C40C66FF867C}">
                  <a14:compatExt spid="_x0000_s6883"/>
                </a:ext>
                <a:ext uri="{FF2B5EF4-FFF2-40B4-BE49-F238E27FC236}">
                  <a16:creationId xmlns:a16="http://schemas.microsoft.com/office/drawing/2014/main" id="{00000000-0008-0000-0400-0000E3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884" name="Check Box 740" hidden="1">
              <a:extLst>
                <a:ext uri="{63B3BB69-23CF-44E3-9099-C40C66FF867C}">
                  <a14:compatExt spid="_x0000_s6884"/>
                </a:ext>
                <a:ext uri="{FF2B5EF4-FFF2-40B4-BE49-F238E27FC236}">
                  <a16:creationId xmlns:a16="http://schemas.microsoft.com/office/drawing/2014/main" id="{00000000-0008-0000-0400-0000E4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885" name="Check Box 741" hidden="1">
              <a:extLst>
                <a:ext uri="{63B3BB69-23CF-44E3-9099-C40C66FF867C}">
                  <a14:compatExt spid="_x0000_s6885"/>
                </a:ext>
                <a:ext uri="{FF2B5EF4-FFF2-40B4-BE49-F238E27FC236}">
                  <a16:creationId xmlns:a16="http://schemas.microsoft.com/office/drawing/2014/main" id="{00000000-0008-0000-0400-0000E5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886" name="Check Box 742" hidden="1">
              <a:extLst>
                <a:ext uri="{63B3BB69-23CF-44E3-9099-C40C66FF867C}">
                  <a14:compatExt spid="_x0000_s6886"/>
                </a:ext>
                <a:ext uri="{FF2B5EF4-FFF2-40B4-BE49-F238E27FC236}">
                  <a16:creationId xmlns:a16="http://schemas.microsoft.com/office/drawing/2014/main" id="{00000000-0008-0000-0400-0000E6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887" name="Check Box 743" hidden="1">
              <a:extLst>
                <a:ext uri="{63B3BB69-23CF-44E3-9099-C40C66FF867C}">
                  <a14:compatExt spid="_x0000_s6887"/>
                </a:ext>
                <a:ext uri="{FF2B5EF4-FFF2-40B4-BE49-F238E27FC236}">
                  <a16:creationId xmlns:a16="http://schemas.microsoft.com/office/drawing/2014/main" id="{00000000-0008-0000-0400-0000E7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888" name="Check Box 744" hidden="1">
              <a:extLst>
                <a:ext uri="{63B3BB69-23CF-44E3-9099-C40C66FF867C}">
                  <a14:compatExt spid="_x0000_s6888"/>
                </a:ext>
                <a:ext uri="{FF2B5EF4-FFF2-40B4-BE49-F238E27FC236}">
                  <a16:creationId xmlns:a16="http://schemas.microsoft.com/office/drawing/2014/main" id="{00000000-0008-0000-0400-0000E8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889" name="Check Box 745" hidden="1">
              <a:extLst>
                <a:ext uri="{63B3BB69-23CF-44E3-9099-C40C66FF867C}">
                  <a14:compatExt spid="_x0000_s6889"/>
                </a:ext>
                <a:ext uri="{FF2B5EF4-FFF2-40B4-BE49-F238E27FC236}">
                  <a16:creationId xmlns:a16="http://schemas.microsoft.com/office/drawing/2014/main" id="{00000000-0008-0000-0400-0000E9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890" name="Check Box 746" hidden="1">
              <a:extLst>
                <a:ext uri="{63B3BB69-23CF-44E3-9099-C40C66FF867C}">
                  <a14:compatExt spid="_x0000_s6890"/>
                </a:ext>
                <a:ext uri="{FF2B5EF4-FFF2-40B4-BE49-F238E27FC236}">
                  <a16:creationId xmlns:a16="http://schemas.microsoft.com/office/drawing/2014/main" id="{00000000-0008-0000-0400-0000EA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891" name="Check Box 747" hidden="1">
              <a:extLst>
                <a:ext uri="{63B3BB69-23CF-44E3-9099-C40C66FF867C}">
                  <a14:compatExt spid="_x0000_s6891"/>
                </a:ext>
                <a:ext uri="{FF2B5EF4-FFF2-40B4-BE49-F238E27FC236}">
                  <a16:creationId xmlns:a16="http://schemas.microsoft.com/office/drawing/2014/main" id="{00000000-0008-0000-0400-0000EB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892" name="Check Box 748" hidden="1">
              <a:extLst>
                <a:ext uri="{63B3BB69-23CF-44E3-9099-C40C66FF867C}">
                  <a14:compatExt spid="_x0000_s6892"/>
                </a:ext>
                <a:ext uri="{FF2B5EF4-FFF2-40B4-BE49-F238E27FC236}">
                  <a16:creationId xmlns:a16="http://schemas.microsoft.com/office/drawing/2014/main" id="{00000000-0008-0000-0400-0000EC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893" name="Check Box 749" hidden="1">
              <a:extLst>
                <a:ext uri="{63B3BB69-23CF-44E3-9099-C40C66FF867C}">
                  <a14:compatExt spid="_x0000_s6893"/>
                </a:ext>
                <a:ext uri="{FF2B5EF4-FFF2-40B4-BE49-F238E27FC236}">
                  <a16:creationId xmlns:a16="http://schemas.microsoft.com/office/drawing/2014/main" id="{00000000-0008-0000-0400-0000ED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894" name="Check Box 750" hidden="1">
              <a:extLst>
                <a:ext uri="{63B3BB69-23CF-44E3-9099-C40C66FF867C}">
                  <a14:compatExt spid="_x0000_s6894"/>
                </a:ext>
                <a:ext uri="{FF2B5EF4-FFF2-40B4-BE49-F238E27FC236}">
                  <a16:creationId xmlns:a16="http://schemas.microsoft.com/office/drawing/2014/main" id="{00000000-0008-0000-0400-0000EE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895" name="Check Box 751" hidden="1">
              <a:extLst>
                <a:ext uri="{63B3BB69-23CF-44E3-9099-C40C66FF867C}">
                  <a14:compatExt spid="_x0000_s6895"/>
                </a:ext>
                <a:ext uri="{FF2B5EF4-FFF2-40B4-BE49-F238E27FC236}">
                  <a16:creationId xmlns:a16="http://schemas.microsoft.com/office/drawing/2014/main" id="{00000000-0008-0000-0400-0000EF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896" name="Check Box 752" hidden="1">
              <a:extLst>
                <a:ext uri="{63B3BB69-23CF-44E3-9099-C40C66FF867C}">
                  <a14:compatExt spid="_x0000_s6896"/>
                </a:ext>
                <a:ext uri="{FF2B5EF4-FFF2-40B4-BE49-F238E27FC236}">
                  <a16:creationId xmlns:a16="http://schemas.microsoft.com/office/drawing/2014/main" id="{00000000-0008-0000-0400-0000F0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897" name="Check Box 753" hidden="1">
              <a:extLst>
                <a:ext uri="{63B3BB69-23CF-44E3-9099-C40C66FF867C}">
                  <a14:compatExt spid="_x0000_s6897"/>
                </a:ext>
                <a:ext uri="{FF2B5EF4-FFF2-40B4-BE49-F238E27FC236}">
                  <a16:creationId xmlns:a16="http://schemas.microsoft.com/office/drawing/2014/main" id="{00000000-0008-0000-0400-0000F1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898" name="Check Box 754" hidden="1">
              <a:extLst>
                <a:ext uri="{63B3BB69-23CF-44E3-9099-C40C66FF867C}">
                  <a14:compatExt spid="_x0000_s6898"/>
                </a:ext>
                <a:ext uri="{FF2B5EF4-FFF2-40B4-BE49-F238E27FC236}">
                  <a16:creationId xmlns:a16="http://schemas.microsoft.com/office/drawing/2014/main" id="{00000000-0008-0000-0400-0000F2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899" name="Check Box 755" hidden="1">
              <a:extLst>
                <a:ext uri="{63B3BB69-23CF-44E3-9099-C40C66FF867C}">
                  <a14:compatExt spid="_x0000_s6899"/>
                </a:ext>
                <a:ext uri="{FF2B5EF4-FFF2-40B4-BE49-F238E27FC236}">
                  <a16:creationId xmlns:a16="http://schemas.microsoft.com/office/drawing/2014/main" id="{00000000-0008-0000-0400-0000F3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900" name="Check Box 756" hidden="1">
              <a:extLst>
                <a:ext uri="{63B3BB69-23CF-44E3-9099-C40C66FF867C}">
                  <a14:compatExt spid="_x0000_s6900"/>
                </a:ext>
                <a:ext uri="{FF2B5EF4-FFF2-40B4-BE49-F238E27FC236}">
                  <a16:creationId xmlns:a16="http://schemas.microsoft.com/office/drawing/2014/main" id="{00000000-0008-0000-0400-0000F4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901" name="Check Box 757" hidden="1">
              <a:extLst>
                <a:ext uri="{63B3BB69-23CF-44E3-9099-C40C66FF867C}">
                  <a14:compatExt spid="_x0000_s6901"/>
                </a:ext>
                <a:ext uri="{FF2B5EF4-FFF2-40B4-BE49-F238E27FC236}">
                  <a16:creationId xmlns:a16="http://schemas.microsoft.com/office/drawing/2014/main" id="{00000000-0008-0000-0400-0000F5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902" name="Check Box 758" hidden="1">
              <a:extLst>
                <a:ext uri="{63B3BB69-23CF-44E3-9099-C40C66FF867C}">
                  <a14:compatExt spid="_x0000_s6902"/>
                </a:ext>
                <a:ext uri="{FF2B5EF4-FFF2-40B4-BE49-F238E27FC236}">
                  <a16:creationId xmlns:a16="http://schemas.microsoft.com/office/drawing/2014/main" id="{00000000-0008-0000-0400-0000F6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903" name="Check Box 759" hidden="1">
              <a:extLst>
                <a:ext uri="{63B3BB69-23CF-44E3-9099-C40C66FF867C}">
                  <a14:compatExt spid="_x0000_s6903"/>
                </a:ext>
                <a:ext uri="{FF2B5EF4-FFF2-40B4-BE49-F238E27FC236}">
                  <a16:creationId xmlns:a16="http://schemas.microsoft.com/office/drawing/2014/main" id="{00000000-0008-0000-0400-0000F7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904" name="Check Box 760" hidden="1">
              <a:extLst>
                <a:ext uri="{63B3BB69-23CF-44E3-9099-C40C66FF867C}">
                  <a14:compatExt spid="_x0000_s6904"/>
                </a:ext>
                <a:ext uri="{FF2B5EF4-FFF2-40B4-BE49-F238E27FC236}">
                  <a16:creationId xmlns:a16="http://schemas.microsoft.com/office/drawing/2014/main" id="{00000000-0008-0000-0400-0000F8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905" name="Check Box 761" hidden="1">
              <a:extLst>
                <a:ext uri="{63B3BB69-23CF-44E3-9099-C40C66FF867C}">
                  <a14:compatExt spid="_x0000_s6905"/>
                </a:ext>
                <a:ext uri="{FF2B5EF4-FFF2-40B4-BE49-F238E27FC236}">
                  <a16:creationId xmlns:a16="http://schemas.microsoft.com/office/drawing/2014/main" id="{00000000-0008-0000-0400-0000F9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906" name="Check Box 762" hidden="1">
              <a:extLst>
                <a:ext uri="{63B3BB69-23CF-44E3-9099-C40C66FF867C}">
                  <a14:compatExt spid="_x0000_s6906"/>
                </a:ext>
                <a:ext uri="{FF2B5EF4-FFF2-40B4-BE49-F238E27FC236}">
                  <a16:creationId xmlns:a16="http://schemas.microsoft.com/office/drawing/2014/main" id="{00000000-0008-0000-0400-0000FA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907" name="Check Box 763" hidden="1">
              <a:extLst>
                <a:ext uri="{63B3BB69-23CF-44E3-9099-C40C66FF867C}">
                  <a14:compatExt spid="_x0000_s6907"/>
                </a:ext>
                <a:ext uri="{FF2B5EF4-FFF2-40B4-BE49-F238E27FC236}">
                  <a16:creationId xmlns:a16="http://schemas.microsoft.com/office/drawing/2014/main" id="{00000000-0008-0000-0400-0000FB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908" name="Check Box 764" hidden="1">
              <a:extLst>
                <a:ext uri="{63B3BB69-23CF-44E3-9099-C40C66FF867C}">
                  <a14:compatExt spid="_x0000_s6908"/>
                </a:ext>
                <a:ext uri="{FF2B5EF4-FFF2-40B4-BE49-F238E27FC236}">
                  <a16:creationId xmlns:a16="http://schemas.microsoft.com/office/drawing/2014/main" id="{00000000-0008-0000-0400-0000FC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909" name="Check Box 765" hidden="1">
              <a:extLst>
                <a:ext uri="{63B3BB69-23CF-44E3-9099-C40C66FF867C}">
                  <a14:compatExt spid="_x0000_s6909"/>
                </a:ext>
                <a:ext uri="{FF2B5EF4-FFF2-40B4-BE49-F238E27FC236}">
                  <a16:creationId xmlns:a16="http://schemas.microsoft.com/office/drawing/2014/main" id="{00000000-0008-0000-0400-0000FD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910" name="Check Box 766" hidden="1">
              <a:extLst>
                <a:ext uri="{63B3BB69-23CF-44E3-9099-C40C66FF867C}">
                  <a14:compatExt spid="_x0000_s6910"/>
                </a:ext>
                <a:ext uri="{FF2B5EF4-FFF2-40B4-BE49-F238E27FC236}">
                  <a16:creationId xmlns:a16="http://schemas.microsoft.com/office/drawing/2014/main" id="{00000000-0008-0000-0400-0000FE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911" name="Check Box 767" hidden="1">
              <a:extLst>
                <a:ext uri="{63B3BB69-23CF-44E3-9099-C40C66FF867C}">
                  <a14:compatExt spid="_x0000_s6911"/>
                </a:ext>
                <a:ext uri="{FF2B5EF4-FFF2-40B4-BE49-F238E27FC236}">
                  <a16:creationId xmlns:a16="http://schemas.microsoft.com/office/drawing/2014/main" id="{00000000-0008-0000-0400-0000FF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912" name="Check Box 768" hidden="1">
              <a:extLst>
                <a:ext uri="{63B3BB69-23CF-44E3-9099-C40C66FF867C}">
                  <a14:compatExt spid="_x0000_s6912"/>
                </a:ext>
                <a:ext uri="{FF2B5EF4-FFF2-40B4-BE49-F238E27FC236}">
                  <a16:creationId xmlns:a16="http://schemas.microsoft.com/office/drawing/2014/main" id="{00000000-0008-0000-0400-000000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913" name="Check Box 769" hidden="1">
              <a:extLst>
                <a:ext uri="{63B3BB69-23CF-44E3-9099-C40C66FF867C}">
                  <a14:compatExt spid="_x0000_s6913"/>
                </a:ext>
                <a:ext uri="{FF2B5EF4-FFF2-40B4-BE49-F238E27FC236}">
                  <a16:creationId xmlns:a16="http://schemas.microsoft.com/office/drawing/2014/main" id="{00000000-0008-0000-0400-000001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914" name="Check Box 770" hidden="1">
              <a:extLst>
                <a:ext uri="{63B3BB69-23CF-44E3-9099-C40C66FF867C}">
                  <a14:compatExt spid="_x0000_s6914"/>
                </a:ext>
                <a:ext uri="{FF2B5EF4-FFF2-40B4-BE49-F238E27FC236}">
                  <a16:creationId xmlns:a16="http://schemas.microsoft.com/office/drawing/2014/main" id="{00000000-0008-0000-0400-000002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915" name="Check Box 771" hidden="1">
              <a:extLst>
                <a:ext uri="{63B3BB69-23CF-44E3-9099-C40C66FF867C}">
                  <a14:compatExt spid="_x0000_s6915"/>
                </a:ext>
                <a:ext uri="{FF2B5EF4-FFF2-40B4-BE49-F238E27FC236}">
                  <a16:creationId xmlns:a16="http://schemas.microsoft.com/office/drawing/2014/main" id="{00000000-0008-0000-0400-000003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916" name="Check Box 772" hidden="1">
              <a:extLst>
                <a:ext uri="{63B3BB69-23CF-44E3-9099-C40C66FF867C}">
                  <a14:compatExt spid="_x0000_s6916"/>
                </a:ext>
                <a:ext uri="{FF2B5EF4-FFF2-40B4-BE49-F238E27FC236}">
                  <a16:creationId xmlns:a16="http://schemas.microsoft.com/office/drawing/2014/main" id="{00000000-0008-0000-0400-000004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917" name="Check Box 773" hidden="1">
              <a:extLst>
                <a:ext uri="{63B3BB69-23CF-44E3-9099-C40C66FF867C}">
                  <a14:compatExt spid="_x0000_s6917"/>
                </a:ext>
                <a:ext uri="{FF2B5EF4-FFF2-40B4-BE49-F238E27FC236}">
                  <a16:creationId xmlns:a16="http://schemas.microsoft.com/office/drawing/2014/main" id="{00000000-0008-0000-0400-000005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918" name="Check Box 774" hidden="1">
              <a:extLst>
                <a:ext uri="{63B3BB69-23CF-44E3-9099-C40C66FF867C}">
                  <a14:compatExt spid="_x0000_s6918"/>
                </a:ext>
                <a:ext uri="{FF2B5EF4-FFF2-40B4-BE49-F238E27FC236}">
                  <a16:creationId xmlns:a16="http://schemas.microsoft.com/office/drawing/2014/main" id="{00000000-0008-0000-0400-000006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919" name="Check Box 775" hidden="1">
              <a:extLst>
                <a:ext uri="{63B3BB69-23CF-44E3-9099-C40C66FF867C}">
                  <a14:compatExt spid="_x0000_s6919"/>
                </a:ext>
                <a:ext uri="{FF2B5EF4-FFF2-40B4-BE49-F238E27FC236}">
                  <a16:creationId xmlns:a16="http://schemas.microsoft.com/office/drawing/2014/main" id="{00000000-0008-0000-0400-000007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920" name="Check Box 776" hidden="1">
              <a:extLst>
                <a:ext uri="{63B3BB69-23CF-44E3-9099-C40C66FF867C}">
                  <a14:compatExt spid="_x0000_s6920"/>
                </a:ext>
                <a:ext uri="{FF2B5EF4-FFF2-40B4-BE49-F238E27FC236}">
                  <a16:creationId xmlns:a16="http://schemas.microsoft.com/office/drawing/2014/main" id="{00000000-0008-0000-0400-000008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921" name="Check Box 777" hidden="1">
              <a:extLst>
                <a:ext uri="{63B3BB69-23CF-44E3-9099-C40C66FF867C}">
                  <a14:compatExt spid="_x0000_s6921"/>
                </a:ext>
                <a:ext uri="{FF2B5EF4-FFF2-40B4-BE49-F238E27FC236}">
                  <a16:creationId xmlns:a16="http://schemas.microsoft.com/office/drawing/2014/main" id="{00000000-0008-0000-0400-000009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922" name="Check Box 778" hidden="1">
              <a:extLst>
                <a:ext uri="{63B3BB69-23CF-44E3-9099-C40C66FF867C}">
                  <a14:compatExt spid="_x0000_s6922"/>
                </a:ext>
                <a:ext uri="{FF2B5EF4-FFF2-40B4-BE49-F238E27FC236}">
                  <a16:creationId xmlns:a16="http://schemas.microsoft.com/office/drawing/2014/main" id="{00000000-0008-0000-0400-00000A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923" name="Check Box 779" hidden="1">
              <a:extLst>
                <a:ext uri="{63B3BB69-23CF-44E3-9099-C40C66FF867C}">
                  <a14:compatExt spid="_x0000_s6923"/>
                </a:ext>
                <a:ext uri="{FF2B5EF4-FFF2-40B4-BE49-F238E27FC236}">
                  <a16:creationId xmlns:a16="http://schemas.microsoft.com/office/drawing/2014/main" id="{00000000-0008-0000-0400-00000B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924" name="Check Box 780" hidden="1">
              <a:extLst>
                <a:ext uri="{63B3BB69-23CF-44E3-9099-C40C66FF867C}">
                  <a14:compatExt spid="_x0000_s6924"/>
                </a:ext>
                <a:ext uri="{FF2B5EF4-FFF2-40B4-BE49-F238E27FC236}">
                  <a16:creationId xmlns:a16="http://schemas.microsoft.com/office/drawing/2014/main" id="{00000000-0008-0000-0400-00000C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925" name="Check Box 781" hidden="1">
              <a:extLst>
                <a:ext uri="{63B3BB69-23CF-44E3-9099-C40C66FF867C}">
                  <a14:compatExt spid="_x0000_s6925"/>
                </a:ext>
                <a:ext uri="{FF2B5EF4-FFF2-40B4-BE49-F238E27FC236}">
                  <a16:creationId xmlns:a16="http://schemas.microsoft.com/office/drawing/2014/main" id="{00000000-0008-0000-0400-00000D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926" name="Check Box 782" hidden="1">
              <a:extLst>
                <a:ext uri="{63B3BB69-23CF-44E3-9099-C40C66FF867C}">
                  <a14:compatExt spid="_x0000_s6926"/>
                </a:ext>
                <a:ext uri="{FF2B5EF4-FFF2-40B4-BE49-F238E27FC236}">
                  <a16:creationId xmlns:a16="http://schemas.microsoft.com/office/drawing/2014/main" id="{00000000-0008-0000-0400-00000E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927" name="Check Box 783" hidden="1">
              <a:extLst>
                <a:ext uri="{63B3BB69-23CF-44E3-9099-C40C66FF867C}">
                  <a14:compatExt spid="_x0000_s6927"/>
                </a:ext>
                <a:ext uri="{FF2B5EF4-FFF2-40B4-BE49-F238E27FC236}">
                  <a16:creationId xmlns:a16="http://schemas.microsoft.com/office/drawing/2014/main" id="{00000000-0008-0000-0400-00000F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928" name="Check Box 784" hidden="1">
              <a:extLst>
                <a:ext uri="{63B3BB69-23CF-44E3-9099-C40C66FF867C}">
                  <a14:compatExt spid="_x0000_s6928"/>
                </a:ext>
                <a:ext uri="{FF2B5EF4-FFF2-40B4-BE49-F238E27FC236}">
                  <a16:creationId xmlns:a16="http://schemas.microsoft.com/office/drawing/2014/main" id="{00000000-0008-0000-0400-000010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929" name="Check Box 785" hidden="1">
              <a:extLst>
                <a:ext uri="{63B3BB69-23CF-44E3-9099-C40C66FF867C}">
                  <a14:compatExt spid="_x0000_s6929"/>
                </a:ext>
                <a:ext uri="{FF2B5EF4-FFF2-40B4-BE49-F238E27FC236}">
                  <a16:creationId xmlns:a16="http://schemas.microsoft.com/office/drawing/2014/main" id="{00000000-0008-0000-0400-000011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930" name="Check Box 786" hidden="1">
              <a:extLst>
                <a:ext uri="{63B3BB69-23CF-44E3-9099-C40C66FF867C}">
                  <a14:compatExt spid="_x0000_s6930"/>
                </a:ext>
                <a:ext uri="{FF2B5EF4-FFF2-40B4-BE49-F238E27FC236}">
                  <a16:creationId xmlns:a16="http://schemas.microsoft.com/office/drawing/2014/main" id="{00000000-0008-0000-0400-000012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931" name="Check Box 787" hidden="1">
              <a:extLst>
                <a:ext uri="{63B3BB69-23CF-44E3-9099-C40C66FF867C}">
                  <a14:compatExt spid="_x0000_s6931"/>
                </a:ext>
                <a:ext uri="{FF2B5EF4-FFF2-40B4-BE49-F238E27FC236}">
                  <a16:creationId xmlns:a16="http://schemas.microsoft.com/office/drawing/2014/main" id="{00000000-0008-0000-0400-000013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932" name="Check Box 788" hidden="1">
              <a:extLst>
                <a:ext uri="{63B3BB69-23CF-44E3-9099-C40C66FF867C}">
                  <a14:compatExt spid="_x0000_s6932"/>
                </a:ext>
                <a:ext uri="{FF2B5EF4-FFF2-40B4-BE49-F238E27FC236}">
                  <a16:creationId xmlns:a16="http://schemas.microsoft.com/office/drawing/2014/main" id="{00000000-0008-0000-0400-000014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933" name="Check Box 789" hidden="1">
              <a:extLst>
                <a:ext uri="{63B3BB69-23CF-44E3-9099-C40C66FF867C}">
                  <a14:compatExt spid="_x0000_s6933"/>
                </a:ext>
                <a:ext uri="{FF2B5EF4-FFF2-40B4-BE49-F238E27FC236}">
                  <a16:creationId xmlns:a16="http://schemas.microsoft.com/office/drawing/2014/main" id="{00000000-0008-0000-0400-000015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934" name="Check Box 790" hidden="1">
              <a:extLst>
                <a:ext uri="{63B3BB69-23CF-44E3-9099-C40C66FF867C}">
                  <a14:compatExt spid="_x0000_s6934"/>
                </a:ext>
                <a:ext uri="{FF2B5EF4-FFF2-40B4-BE49-F238E27FC236}">
                  <a16:creationId xmlns:a16="http://schemas.microsoft.com/office/drawing/2014/main" id="{00000000-0008-0000-0400-000016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935" name="Check Box 791" hidden="1">
              <a:extLst>
                <a:ext uri="{63B3BB69-23CF-44E3-9099-C40C66FF867C}">
                  <a14:compatExt spid="_x0000_s6935"/>
                </a:ext>
                <a:ext uri="{FF2B5EF4-FFF2-40B4-BE49-F238E27FC236}">
                  <a16:creationId xmlns:a16="http://schemas.microsoft.com/office/drawing/2014/main" id="{00000000-0008-0000-0400-000017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936" name="Check Box 792" hidden="1">
              <a:extLst>
                <a:ext uri="{63B3BB69-23CF-44E3-9099-C40C66FF867C}">
                  <a14:compatExt spid="_x0000_s6936"/>
                </a:ext>
                <a:ext uri="{FF2B5EF4-FFF2-40B4-BE49-F238E27FC236}">
                  <a16:creationId xmlns:a16="http://schemas.microsoft.com/office/drawing/2014/main" id="{00000000-0008-0000-0400-000018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937" name="Check Box 793" hidden="1">
              <a:extLst>
                <a:ext uri="{63B3BB69-23CF-44E3-9099-C40C66FF867C}">
                  <a14:compatExt spid="_x0000_s6937"/>
                </a:ext>
                <a:ext uri="{FF2B5EF4-FFF2-40B4-BE49-F238E27FC236}">
                  <a16:creationId xmlns:a16="http://schemas.microsoft.com/office/drawing/2014/main" id="{00000000-0008-0000-0400-000019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938" name="Check Box 794" hidden="1">
              <a:extLst>
                <a:ext uri="{63B3BB69-23CF-44E3-9099-C40C66FF867C}">
                  <a14:compatExt spid="_x0000_s6938"/>
                </a:ext>
                <a:ext uri="{FF2B5EF4-FFF2-40B4-BE49-F238E27FC236}">
                  <a16:creationId xmlns:a16="http://schemas.microsoft.com/office/drawing/2014/main" id="{00000000-0008-0000-0400-00001A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939" name="Check Box 795" hidden="1">
              <a:extLst>
                <a:ext uri="{63B3BB69-23CF-44E3-9099-C40C66FF867C}">
                  <a14:compatExt spid="_x0000_s6939"/>
                </a:ext>
                <a:ext uri="{FF2B5EF4-FFF2-40B4-BE49-F238E27FC236}">
                  <a16:creationId xmlns:a16="http://schemas.microsoft.com/office/drawing/2014/main" id="{00000000-0008-0000-0400-00001B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940" name="Check Box 796" hidden="1">
              <a:extLst>
                <a:ext uri="{63B3BB69-23CF-44E3-9099-C40C66FF867C}">
                  <a14:compatExt spid="_x0000_s6940"/>
                </a:ext>
                <a:ext uri="{FF2B5EF4-FFF2-40B4-BE49-F238E27FC236}">
                  <a16:creationId xmlns:a16="http://schemas.microsoft.com/office/drawing/2014/main" id="{00000000-0008-0000-0400-00001C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941" name="Check Box 797" hidden="1">
              <a:extLst>
                <a:ext uri="{63B3BB69-23CF-44E3-9099-C40C66FF867C}">
                  <a14:compatExt spid="_x0000_s6941"/>
                </a:ext>
                <a:ext uri="{FF2B5EF4-FFF2-40B4-BE49-F238E27FC236}">
                  <a16:creationId xmlns:a16="http://schemas.microsoft.com/office/drawing/2014/main" id="{00000000-0008-0000-0400-00001D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942" name="Check Box 798" hidden="1">
              <a:extLst>
                <a:ext uri="{63B3BB69-23CF-44E3-9099-C40C66FF867C}">
                  <a14:compatExt spid="_x0000_s6942"/>
                </a:ext>
                <a:ext uri="{FF2B5EF4-FFF2-40B4-BE49-F238E27FC236}">
                  <a16:creationId xmlns:a16="http://schemas.microsoft.com/office/drawing/2014/main" id="{00000000-0008-0000-0400-00001E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943" name="Check Box 799" hidden="1">
              <a:extLst>
                <a:ext uri="{63B3BB69-23CF-44E3-9099-C40C66FF867C}">
                  <a14:compatExt spid="_x0000_s6943"/>
                </a:ext>
                <a:ext uri="{FF2B5EF4-FFF2-40B4-BE49-F238E27FC236}">
                  <a16:creationId xmlns:a16="http://schemas.microsoft.com/office/drawing/2014/main" id="{00000000-0008-0000-0400-00001F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944" name="Check Box 800" hidden="1">
              <a:extLst>
                <a:ext uri="{63B3BB69-23CF-44E3-9099-C40C66FF867C}">
                  <a14:compatExt spid="_x0000_s6944"/>
                </a:ext>
                <a:ext uri="{FF2B5EF4-FFF2-40B4-BE49-F238E27FC236}">
                  <a16:creationId xmlns:a16="http://schemas.microsoft.com/office/drawing/2014/main" id="{00000000-0008-0000-0400-000020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945" name="Check Box 801" hidden="1">
              <a:extLst>
                <a:ext uri="{63B3BB69-23CF-44E3-9099-C40C66FF867C}">
                  <a14:compatExt spid="_x0000_s6945"/>
                </a:ext>
                <a:ext uri="{FF2B5EF4-FFF2-40B4-BE49-F238E27FC236}">
                  <a16:creationId xmlns:a16="http://schemas.microsoft.com/office/drawing/2014/main" id="{00000000-0008-0000-0400-000021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946" name="Check Box 802" hidden="1">
              <a:extLst>
                <a:ext uri="{63B3BB69-23CF-44E3-9099-C40C66FF867C}">
                  <a14:compatExt spid="_x0000_s6946"/>
                </a:ext>
                <a:ext uri="{FF2B5EF4-FFF2-40B4-BE49-F238E27FC236}">
                  <a16:creationId xmlns:a16="http://schemas.microsoft.com/office/drawing/2014/main" id="{00000000-0008-0000-0400-000022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947" name="Check Box 803" hidden="1">
              <a:extLst>
                <a:ext uri="{63B3BB69-23CF-44E3-9099-C40C66FF867C}">
                  <a14:compatExt spid="_x0000_s6947"/>
                </a:ext>
                <a:ext uri="{FF2B5EF4-FFF2-40B4-BE49-F238E27FC236}">
                  <a16:creationId xmlns:a16="http://schemas.microsoft.com/office/drawing/2014/main" id="{00000000-0008-0000-0400-000023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948" name="Check Box 804" hidden="1">
              <a:extLst>
                <a:ext uri="{63B3BB69-23CF-44E3-9099-C40C66FF867C}">
                  <a14:compatExt spid="_x0000_s6948"/>
                </a:ext>
                <a:ext uri="{FF2B5EF4-FFF2-40B4-BE49-F238E27FC236}">
                  <a16:creationId xmlns:a16="http://schemas.microsoft.com/office/drawing/2014/main" id="{00000000-0008-0000-0400-000024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949" name="Check Box 805" hidden="1">
              <a:extLst>
                <a:ext uri="{63B3BB69-23CF-44E3-9099-C40C66FF867C}">
                  <a14:compatExt spid="_x0000_s6949"/>
                </a:ext>
                <a:ext uri="{FF2B5EF4-FFF2-40B4-BE49-F238E27FC236}">
                  <a16:creationId xmlns:a16="http://schemas.microsoft.com/office/drawing/2014/main" id="{00000000-0008-0000-0400-000025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950" name="Check Box 806" hidden="1">
              <a:extLst>
                <a:ext uri="{63B3BB69-23CF-44E3-9099-C40C66FF867C}">
                  <a14:compatExt spid="_x0000_s6950"/>
                </a:ext>
                <a:ext uri="{FF2B5EF4-FFF2-40B4-BE49-F238E27FC236}">
                  <a16:creationId xmlns:a16="http://schemas.microsoft.com/office/drawing/2014/main" id="{00000000-0008-0000-0400-000026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951" name="Check Box 807" hidden="1">
              <a:extLst>
                <a:ext uri="{63B3BB69-23CF-44E3-9099-C40C66FF867C}">
                  <a14:compatExt spid="_x0000_s6951"/>
                </a:ext>
                <a:ext uri="{FF2B5EF4-FFF2-40B4-BE49-F238E27FC236}">
                  <a16:creationId xmlns:a16="http://schemas.microsoft.com/office/drawing/2014/main" id="{00000000-0008-0000-0400-000027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952" name="Check Box 808" hidden="1">
              <a:extLst>
                <a:ext uri="{63B3BB69-23CF-44E3-9099-C40C66FF867C}">
                  <a14:compatExt spid="_x0000_s6952"/>
                </a:ext>
                <a:ext uri="{FF2B5EF4-FFF2-40B4-BE49-F238E27FC236}">
                  <a16:creationId xmlns:a16="http://schemas.microsoft.com/office/drawing/2014/main" id="{00000000-0008-0000-0400-000028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953" name="Check Box 809" hidden="1">
              <a:extLst>
                <a:ext uri="{63B3BB69-23CF-44E3-9099-C40C66FF867C}">
                  <a14:compatExt spid="_x0000_s6953"/>
                </a:ext>
                <a:ext uri="{FF2B5EF4-FFF2-40B4-BE49-F238E27FC236}">
                  <a16:creationId xmlns:a16="http://schemas.microsoft.com/office/drawing/2014/main" id="{00000000-0008-0000-0400-000029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954" name="Check Box 810" hidden="1">
              <a:extLst>
                <a:ext uri="{63B3BB69-23CF-44E3-9099-C40C66FF867C}">
                  <a14:compatExt spid="_x0000_s6954"/>
                </a:ext>
                <a:ext uri="{FF2B5EF4-FFF2-40B4-BE49-F238E27FC236}">
                  <a16:creationId xmlns:a16="http://schemas.microsoft.com/office/drawing/2014/main" id="{00000000-0008-0000-0400-00002A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955" name="Check Box 811" hidden="1">
              <a:extLst>
                <a:ext uri="{63B3BB69-23CF-44E3-9099-C40C66FF867C}">
                  <a14:compatExt spid="_x0000_s6955"/>
                </a:ext>
                <a:ext uri="{FF2B5EF4-FFF2-40B4-BE49-F238E27FC236}">
                  <a16:creationId xmlns:a16="http://schemas.microsoft.com/office/drawing/2014/main" id="{00000000-0008-0000-0400-00002B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956" name="Check Box 812" hidden="1">
              <a:extLst>
                <a:ext uri="{63B3BB69-23CF-44E3-9099-C40C66FF867C}">
                  <a14:compatExt spid="_x0000_s6956"/>
                </a:ext>
                <a:ext uri="{FF2B5EF4-FFF2-40B4-BE49-F238E27FC236}">
                  <a16:creationId xmlns:a16="http://schemas.microsoft.com/office/drawing/2014/main" id="{00000000-0008-0000-0400-00002C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957" name="Check Box 813" hidden="1">
              <a:extLst>
                <a:ext uri="{63B3BB69-23CF-44E3-9099-C40C66FF867C}">
                  <a14:compatExt spid="_x0000_s6957"/>
                </a:ext>
                <a:ext uri="{FF2B5EF4-FFF2-40B4-BE49-F238E27FC236}">
                  <a16:creationId xmlns:a16="http://schemas.microsoft.com/office/drawing/2014/main" id="{00000000-0008-0000-0400-00002D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958" name="Check Box 814" hidden="1">
              <a:extLst>
                <a:ext uri="{63B3BB69-23CF-44E3-9099-C40C66FF867C}">
                  <a14:compatExt spid="_x0000_s6958"/>
                </a:ext>
                <a:ext uri="{FF2B5EF4-FFF2-40B4-BE49-F238E27FC236}">
                  <a16:creationId xmlns:a16="http://schemas.microsoft.com/office/drawing/2014/main" id="{00000000-0008-0000-0400-00002E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959" name="Check Box 815" hidden="1">
              <a:extLst>
                <a:ext uri="{63B3BB69-23CF-44E3-9099-C40C66FF867C}">
                  <a14:compatExt spid="_x0000_s6959"/>
                </a:ext>
                <a:ext uri="{FF2B5EF4-FFF2-40B4-BE49-F238E27FC236}">
                  <a16:creationId xmlns:a16="http://schemas.microsoft.com/office/drawing/2014/main" id="{00000000-0008-0000-0400-00002F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960" name="Check Box 816" hidden="1">
              <a:extLst>
                <a:ext uri="{63B3BB69-23CF-44E3-9099-C40C66FF867C}">
                  <a14:compatExt spid="_x0000_s6960"/>
                </a:ext>
                <a:ext uri="{FF2B5EF4-FFF2-40B4-BE49-F238E27FC236}">
                  <a16:creationId xmlns:a16="http://schemas.microsoft.com/office/drawing/2014/main" id="{00000000-0008-0000-0400-000030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961" name="Check Box 817" hidden="1">
              <a:extLst>
                <a:ext uri="{63B3BB69-23CF-44E3-9099-C40C66FF867C}">
                  <a14:compatExt spid="_x0000_s6961"/>
                </a:ext>
                <a:ext uri="{FF2B5EF4-FFF2-40B4-BE49-F238E27FC236}">
                  <a16:creationId xmlns:a16="http://schemas.microsoft.com/office/drawing/2014/main" id="{00000000-0008-0000-0400-000031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962" name="Check Box 818" hidden="1">
              <a:extLst>
                <a:ext uri="{63B3BB69-23CF-44E3-9099-C40C66FF867C}">
                  <a14:compatExt spid="_x0000_s6962"/>
                </a:ext>
                <a:ext uri="{FF2B5EF4-FFF2-40B4-BE49-F238E27FC236}">
                  <a16:creationId xmlns:a16="http://schemas.microsoft.com/office/drawing/2014/main" id="{00000000-0008-0000-0400-000032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963" name="Check Box 819" hidden="1">
              <a:extLst>
                <a:ext uri="{63B3BB69-23CF-44E3-9099-C40C66FF867C}">
                  <a14:compatExt spid="_x0000_s6963"/>
                </a:ext>
                <a:ext uri="{FF2B5EF4-FFF2-40B4-BE49-F238E27FC236}">
                  <a16:creationId xmlns:a16="http://schemas.microsoft.com/office/drawing/2014/main" id="{00000000-0008-0000-0400-000033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964" name="Check Box 820" hidden="1">
              <a:extLst>
                <a:ext uri="{63B3BB69-23CF-44E3-9099-C40C66FF867C}">
                  <a14:compatExt spid="_x0000_s6964"/>
                </a:ext>
                <a:ext uri="{FF2B5EF4-FFF2-40B4-BE49-F238E27FC236}">
                  <a16:creationId xmlns:a16="http://schemas.microsoft.com/office/drawing/2014/main" id="{00000000-0008-0000-0400-000034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965" name="Check Box 821" hidden="1">
              <a:extLst>
                <a:ext uri="{63B3BB69-23CF-44E3-9099-C40C66FF867C}">
                  <a14:compatExt spid="_x0000_s6965"/>
                </a:ext>
                <a:ext uri="{FF2B5EF4-FFF2-40B4-BE49-F238E27FC236}">
                  <a16:creationId xmlns:a16="http://schemas.microsoft.com/office/drawing/2014/main" id="{00000000-0008-0000-0400-000035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966" name="Check Box 822" hidden="1">
              <a:extLst>
                <a:ext uri="{63B3BB69-23CF-44E3-9099-C40C66FF867C}">
                  <a14:compatExt spid="_x0000_s6966"/>
                </a:ext>
                <a:ext uri="{FF2B5EF4-FFF2-40B4-BE49-F238E27FC236}">
                  <a16:creationId xmlns:a16="http://schemas.microsoft.com/office/drawing/2014/main" id="{00000000-0008-0000-0400-000036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967" name="Check Box 823" hidden="1">
              <a:extLst>
                <a:ext uri="{63B3BB69-23CF-44E3-9099-C40C66FF867C}">
                  <a14:compatExt spid="_x0000_s6967"/>
                </a:ext>
                <a:ext uri="{FF2B5EF4-FFF2-40B4-BE49-F238E27FC236}">
                  <a16:creationId xmlns:a16="http://schemas.microsoft.com/office/drawing/2014/main" id="{00000000-0008-0000-0400-000037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968" name="Check Box 824" hidden="1">
              <a:extLst>
                <a:ext uri="{63B3BB69-23CF-44E3-9099-C40C66FF867C}">
                  <a14:compatExt spid="_x0000_s6968"/>
                </a:ext>
                <a:ext uri="{FF2B5EF4-FFF2-40B4-BE49-F238E27FC236}">
                  <a16:creationId xmlns:a16="http://schemas.microsoft.com/office/drawing/2014/main" id="{00000000-0008-0000-0400-000038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969" name="Check Box 825" hidden="1">
              <a:extLst>
                <a:ext uri="{63B3BB69-23CF-44E3-9099-C40C66FF867C}">
                  <a14:compatExt spid="_x0000_s6969"/>
                </a:ext>
                <a:ext uri="{FF2B5EF4-FFF2-40B4-BE49-F238E27FC236}">
                  <a16:creationId xmlns:a16="http://schemas.microsoft.com/office/drawing/2014/main" id="{00000000-0008-0000-0400-000039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970" name="Check Box 826" hidden="1">
              <a:extLst>
                <a:ext uri="{63B3BB69-23CF-44E3-9099-C40C66FF867C}">
                  <a14:compatExt spid="_x0000_s6970"/>
                </a:ext>
                <a:ext uri="{FF2B5EF4-FFF2-40B4-BE49-F238E27FC236}">
                  <a16:creationId xmlns:a16="http://schemas.microsoft.com/office/drawing/2014/main" id="{00000000-0008-0000-0400-00003A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971" name="Check Box 827" hidden="1">
              <a:extLst>
                <a:ext uri="{63B3BB69-23CF-44E3-9099-C40C66FF867C}">
                  <a14:compatExt spid="_x0000_s6971"/>
                </a:ext>
                <a:ext uri="{FF2B5EF4-FFF2-40B4-BE49-F238E27FC236}">
                  <a16:creationId xmlns:a16="http://schemas.microsoft.com/office/drawing/2014/main" id="{00000000-0008-0000-0400-00003B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972" name="Check Box 828" hidden="1">
              <a:extLst>
                <a:ext uri="{63B3BB69-23CF-44E3-9099-C40C66FF867C}">
                  <a14:compatExt spid="_x0000_s6972"/>
                </a:ext>
                <a:ext uri="{FF2B5EF4-FFF2-40B4-BE49-F238E27FC236}">
                  <a16:creationId xmlns:a16="http://schemas.microsoft.com/office/drawing/2014/main" id="{00000000-0008-0000-0400-00003C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973" name="Check Box 829" hidden="1">
              <a:extLst>
                <a:ext uri="{63B3BB69-23CF-44E3-9099-C40C66FF867C}">
                  <a14:compatExt spid="_x0000_s6973"/>
                </a:ext>
                <a:ext uri="{FF2B5EF4-FFF2-40B4-BE49-F238E27FC236}">
                  <a16:creationId xmlns:a16="http://schemas.microsoft.com/office/drawing/2014/main" id="{00000000-0008-0000-0400-00003D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974" name="Check Box 830" hidden="1">
              <a:extLst>
                <a:ext uri="{63B3BB69-23CF-44E3-9099-C40C66FF867C}">
                  <a14:compatExt spid="_x0000_s6974"/>
                </a:ext>
                <a:ext uri="{FF2B5EF4-FFF2-40B4-BE49-F238E27FC236}">
                  <a16:creationId xmlns:a16="http://schemas.microsoft.com/office/drawing/2014/main" id="{00000000-0008-0000-0400-00003E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975" name="Check Box 831" hidden="1">
              <a:extLst>
                <a:ext uri="{63B3BB69-23CF-44E3-9099-C40C66FF867C}">
                  <a14:compatExt spid="_x0000_s6975"/>
                </a:ext>
                <a:ext uri="{FF2B5EF4-FFF2-40B4-BE49-F238E27FC236}">
                  <a16:creationId xmlns:a16="http://schemas.microsoft.com/office/drawing/2014/main" id="{00000000-0008-0000-0400-00003F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976" name="Check Box 832" hidden="1">
              <a:extLst>
                <a:ext uri="{63B3BB69-23CF-44E3-9099-C40C66FF867C}">
                  <a14:compatExt spid="_x0000_s6976"/>
                </a:ext>
                <a:ext uri="{FF2B5EF4-FFF2-40B4-BE49-F238E27FC236}">
                  <a16:creationId xmlns:a16="http://schemas.microsoft.com/office/drawing/2014/main" id="{00000000-0008-0000-0400-000040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977" name="Check Box 833" hidden="1">
              <a:extLst>
                <a:ext uri="{63B3BB69-23CF-44E3-9099-C40C66FF867C}">
                  <a14:compatExt spid="_x0000_s6977"/>
                </a:ext>
                <a:ext uri="{FF2B5EF4-FFF2-40B4-BE49-F238E27FC236}">
                  <a16:creationId xmlns:a16="http://schemas.microsoft.com/office/drawing/2014/main" id="{00000000-0008-0000-0400-000041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978" name="Check Box 834" hidden="1">
              <a:extLst>
                <a:ext uri="{63B3BB69-23CF-44E3-9099-C40C66FF867C}">
                  <a14:compatExt spid="_x0000_s6978"/>
                </a:ext>
                <a:ext uri="{FF2B5EF4-FFF2-40B4-BE49-F238E27FC236}">
                  <a16:creationId xmlns:a16="http://schemas.microsoft.com/office/drawing/2014/main" id="{00000000-0008-0000-0400-000042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979" name="Check Box 835" hidden="1">
              <a:extLst>
                <a:ext uri="{63B3BB69-23CF-44E3-9099-C40C66FF867C}">
                  <a14:compatExt spid="_x0000_s6979"/>
                </a:ext>
                <a:ext uri="{FF2B5EF4-FFF2-40B4-BE49-F238E27FC236}">
                  <a16:creationId xmlns:a16="http://schemas.microsoft.com/office/drawing/2014/main" id="{00000000-0008-0000-0400-000043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980" name="Check Box 836" hidden="1">
              <a:extLst>
                <a:ext uri="{63B3BB69-23CF-44E3-9099-C40C66FF867C}">
                  <a14:compatExt spid="_x0000_s6980"/>
                </a:ext>
                <a:ext uri="{FF2B5EF4-FFF2-40B4-BE49-F238E27FC236}">
                  <a16:creationId xmlns:a16="http://schemas.microsoft.com/office/drawing/2014/main" id="{00000000-0008-0000-0400-000044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981" name="Check Box 837" hidden="1">
              <a:extLst>
                <a:ext uri="{63B3BB69-23CF-44E3-9099-C40C66FF867C}">
                  <a14:compatExt spid="_x0000_s6981"/>
                </a:ext>
                <a:ext uri="{FF2B5EF4-FFF2-40B4-BE49-F238E27FC236}">
                  <a16:creationId xmlns:a16="http://schemas.microsoft.com/office/drawing/2014/main" id="{00000000-0008-0000-0400-000045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982" name="Check Box 838" hidden="1">
              <a:extLst>
                <a:ext uri="{63B3BB69-23CF-44E3-9099-C40C66FF867C}">
                  <a14:compatExt spid="_x0000_s6982"/>
                </a:ext>
                <a:ext uri="{FF2B5EF4-FFF2-40B4-BE49-F238E27FC236}">
                  <a16:creationId xmlns:a16="http://schemas.microsoft.com/office/drawing/2014/main" id="{00000000-0008-0000-0400-000046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983" name="Check Box 839" hidden="1">
              <a:extLst>
                <a:ext uri="{63B3BB69-23CF-44E3-9099-C40C66FF867C}">
                  <a14:compatExt spid="_x0000_s6983"/>
                </a:ext>
                <a:ext uri="{FF2B5EF4-FFF2-40B4-BE49-F238E27FC236}">
                  <a16:creationId xmlns:a16="http://schemas.microsoft.com/office/drawing/2014/main" id="{00000000-0008-0000-0400-000047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984" name="Check Box 840" hidden="1">
              <a:extLst>
                <a:ext uri="{63B3BB69-23CF-44E3-9099-C40C66FF867C}">
                  <a14:compatExt spid="_x0000_s6984"/>
                </a:ext>
                <a:ext uri="{FF2B5EF4-FFF2-40B4-BE49-F238E27FC236}">
                  <a16:creationId xmlns:a16="http://schemas.microsoft.com/office/drawing/2014/main" id="{00000000-0008-0000-0400-000048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985" name="Check Box 841" hidden="1">
              <a:extLst>
                <a:ext uri="{63B3BB69-23CF-44E3-9099-C40C66FF867C}">
                  <a14:compatExt spid="_x0000_s6985"/>
                </a:ext>
                <a:ext uri="{FF2B5EF4-FFF2-40B4-BE49-F238E27FC236}">
                  <a16:creationId xmlns:a16="http://schemas.microsoft.com/office/drawing/2014/main" id="{00000000-0008-0000-0400-000049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986" name="Check Box 842" hidden="1">
              <a:extLst>
                <a:ext uri="{63B3BB69-23CF-44E3-9099-C40C66FF867C}">
                  <a14:compatExt spid="_x0000_s6986"/>
                </a:ext>
                <a:ext uri="{FF2B5EF4-FFF2-40B4-BE49-F238E27FC236}">
                  <a16:creationId xmlns:a16="http://schemas.microsoft.com/office/drawing/2014/main" id="{00000000-0008-0000-0400-00004A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987" name="Check Box 843" hidden="1">
              <a:extLst>
                <a:ext uri="{63B3BB69-23CF-44E3-9099-C40C66FF867C}">
                  <a14:compatExt spid="_x0000_s6987"/>
                </a:ext>
                <a:ext uri="{FF2B5EF4-FFF2-40B4-BE49-F238E27FC236}">
                  <a16:creationId xmlns:a16="http://schemas.microsoft.com/office/drawing/2014/main" id="{00000000-0008-0000-0400-00004B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988" name="Check Box 844" hidden="1">
              <a:extLst>
                <a:ext uri="{63B3BB69-23CF-44E3-9099-C40C66FF867C}">
                  <a14:compatExt spid="_x0000_s6988"/>
                </a:ext>
                <a:ext uri="{FF2B5EF4-FFF2-40B4-BE49-F238E27FC236}">
                  <a16:creationId xmlns:a16="http://schemas.microsoft.com/office/drawing/2014/main" id="{00000000-0008-0000-0400-00004C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989" name="Check Box 845" hidden="1">
              <a:extLst>
                <a:ext uri="{63B3BB69-23CF-44E3-9099-C40C66FF867C}">
                  <a14:compatExt spid="_x0000_s6989"/>
                </a:ext>
                <a:ext uri="{FF2B5EF4-FFF2-40B4-BE49-F238E27FC236}">
                  <a16:creationId xmlns:a16="http://schemas.microsoft.com/office/drawing/2014/main" id="{00000000-0008-0000-0400-00004D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990" name="Check Box 846" hidden="1">
              <a:extLst>
                <a:ext uri="{63B3BB69-23CF-44E3-9099-C40C66FF867C}">
                  <a14:compatExt spid="_x0000_s6990"/>
                </a:ext>
                <a:ext uri="{FF2B5EF4-FFF2-40B4-BE49-F238E27FC236}">
                  <a16:creationId xmlns:a16="http://schemas.microsoft.com/office/drawing/2014/main" id="{00000000-0008-0000-0400-00004E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991" name="Check Box 847" hidden="1">
              <a:extLst>
                <a:ext uri="{63B3BB69-23CF-44E3-9099-C40C66FF867C}">
                  <a14:compatExt spid="_x0000_s6991"/>
                </a:ext>
                <a:ext uri="{FF2B5EF4-FFF2-40B4-BE49-F238E27FC236}">
                  <a16:creationId xmlns:a16="http://schemas.microsoft.com/office/drawing/2014/main" id="{00000000-0008-0000-0400-00004F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992" name="Check Box 848" hidden="1">
              <a:extLst>
                <a:ext uri="{63B3BB69-23CF-44E3-9099-C40C66FF867C}">
                  <a14:compatExt spid="_x0000_s6992"/>
                </a:ext>
                <a:ext uri="{FF2B5EF4-FFF2-40B4-BE49-F238E27FC236}">
                  <a16:creationId xmlns:a16="http://schemas.microsoft.com/office/drawing/2014/main" id="{00000000-0008-0000-0400-000050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993" name="Check Box 849" hidden="1">
              <a:extLst>
                <a:ext uri="{63B3BB69-23CF-44E3-9099-C40C66FF867C}">
                  <a14:compatExt spid="_x0000_s6993"/>
                </a:ext>
                <a:ext uri="{FF2B5EF4-FFF2-40B4-BE49-F238E27FC236}">
                  <a16:creationId xmlns:a16="http://schemas.microsoft.com/office/drawing/2014/main" id="{00000000-0008-0000-0400-000051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994" name="Check Box 850" hidden="1">
              <a:extLst>
                <a:ext uri="{63B3BB69-23CF-44E3-9099-C40C66FF867C}">
                  <a14:compatExt spid="_x0000_s6994"/>
                </a:ext>
                <a:ext uri="{FF2B5EF4-FFF2-40B4-BE49-F238E27FC236}">
                  <a16:creationId xmlns:a16="http://schemas.microsoft.com/office/drawing/2014/main" id="{00000000-0008-0000-0400-000052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995" name="Check Box 851" hidden="1">
              <a:extLst>
                <a:ext uri="{63B3BB69-23CF-44E3-9099-C40C66FF867C}">
                  <a14:compatExt spid="_x0000_s6995"/>
                </a:ext>
                <a:ext uri="{FF2B5EF4-FFF2-40B4-BE49-F238E27FC236}">
                  <a16:creationId xmlns:a16="http://schemas.microsoft.com/office/drawing/2014/main" id="{00000000-0008-0000-0400-000053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6996" name="Check Box 852" hidden="1">
              <a:extLst>
                <a:ext uri="{63B3BB69-23CF-44E3-9099-C40C66FF867C}">
                  <a14:compatExt spid="_x0000_s6996"/>
                </a:ext>
                <a:ext uri="{FF2B5EF4-FFF2-40B4-BE49-F238E27FC236}">
                  <a16:creationId xmlns:a16="http://schemas.microsoft.com/office/drawing/2014/main" id="{00000000-0008-0000-0400-000054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6997" name="Check Box 853" hidden="1">
              <a:extLst>
                <a:ext uri="{63B3BB69-23CF-44E3-9099-C40C66FF867C}">
                  <a14:compatExt spid="_x0000_s6997"/>
                </a:ext>
                <a:ext uri="{FF2B5EF4-FFF2-40B4-BE49-F238E27FC236}">
                  <a16:creationId xmlns:a16="http://schemas.microsoft.com/office/drawing/2014/main" id="{00000000-0008-0000-0400-000055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6998" name="Check Box 854" hidden="1">
              <a:extLst>
                <a:ext uri="{63B3BB69-23CF-44E3-9099-C40C66FF867C}">
                  <a14:compatExt spid="_x0000_s6998"/>
                </a:ext>
                <a:ext uri="{FF2B5EF4-FFF2-40B4-BE49-F238E27FC236}">
                  <a16:creationId xmlns:a16="http://schemas.microsoft.com/office/drawing/2014/main" id="{00000000-0008-0000-0400-000056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6999" name="Check Box 855" hidden="1">
              <a:extLst>
                <a:ext uri="{63B3BB69-23CF-44E3-9099-C40C66FF867C}">
                  <a14:compatExt spid="_x0000_s6999"/>
                </a:ext>
                <a:ext uri="{FF2B5EF4-FFF2-40B4-BE49-F238E27FC236}">
                  <a16:creationId xmlns:a16="http://schemas.microsoft.com/office/drawing/2014/main" id="{00000000-0008-0000-0400-000057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000" name="Check Box 856" hidden="1">
              <a:extLst>
                <a:ext uri="{63B3BB69-23CF-44E3-9099-C40C66FF867C}">
                  <a14:compatExt spid="_x0000_s7000"/>
                </a:ext>
                <a:ext uri="{FF2B5EF4-FFF2-40B4-BE49-F238E27FC236}">
                  <a16:creationId xmlns:a16="http://schemas.microsoft.com/office/drawing/2014/main" id="{00000000-0008-0000-0400-000058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001" name="Check Box 857" hidden="1">
              <a:extLst>
                <a:ext uri="{63B3BB69-23CF-44E3-9099-C40C66FF867C}">
                  <a14:compatExt spid="_x0000_s7001"/>
                </a:ext>
                <a:ext uri="{FF2B5EF4-FFF2-40B4-BE49-F238E27FC236}">
                  <a16:creationId xmlns:a16="http://schemas.microsoft.com/office/drawing/2014/main" id="{00000000-0008-0000-0400-000059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002" name="Check Box 858" hidden="1">
              <a:extLst>
                <a:ext uri="{63B3BB69-23CF-44E3-9099-C40C66FF867C}">
                  <a14:compatExt spid="_x0000_s7002"/>
                </a:ext>
                <a:ext uri="{FF2B5EF4-FFF2-40B4-BE49-F238E27FC236}">
                  <a16:creationId xmlns:a16="http://schemas.microsoft.com/office/drawing/2014/main" id="{00000000-0008-0000-0400-00005A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003" name="Check Box 859" hidden="1">
              <a:extLst>
                <a:ext uri="{63B3BB69-23CF-44E3-9099-C40C66FF867C}">
                  <a14:compatExt spid="_x0000_s7003"/>
                </a:ext>
                <a:ext uri="{FF2B5EF4-FFF2-40B4-BE49-F238E27FC236}">
                  <a16:creationId xmlns:a16="http://schemas.microsoft.com/office/drawing/2014/main" id="{00000000-0008-0000-0400-00005B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004" name="Check Box 860" hidden="1">
              <a:extLst>
                <a:ext uri="{63B3BB69-23CF-44E3-9099-C40C66FF867C}">
                  <a14:compatExt spid="_x0000_s7004"/>
                </a:ext>
                <a:ext uri="{FF2B5EF4-FFF2-40B4-BE49-F238E27FC236}">
                  <a16:creationId xmlns:a16="http://schemas.microsoft.com/office/drawing/2014/main" id="{00000000-0008-0000-0400-00005C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005" name="Check Box 861" hidden="1">
              <a:extLst>
                <a:ext uri="{63B3BB69-23CF-44E3-9099-C40C66FF867C}">
                  <a14:compatExt spid="_x0000_s7005"/>
                </a:ext>
                <a:ext uri="{FF2B5EF4-FFF2-40B4-BE49-F238E27FC236}">
                  <a16:creationId xmlns:a16="http://schemas.microsoft.com/office/drawing/2014/main" id="{00000000-0008-0000-0400-00005D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006" name="Check Box 862" hidden="1">
              <a:extLst>
                <a:ext uri="{63B3BB69-23CF-44E3-9099-C40C66FF867C}">
                  <a14:compatExt spid="_x0000_s7006"/>
                </a:ext>
                <a:ext uri="{FF2B5EF4-FFF2-40B4-BE49-F238E27FC236}">
                  <a16:creationId xmlns:a16="http://schemas.microsoft.com/office/drawing/2014/main" id="{00000000-0008-0000-0400-00005E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007" name="Check Box 863" hidden="1">
              <a:extLst>
                <a:ext uri="{63B3BB69-23CF-44E3-9099-C40C66FF867C}">
                  <a14:compatExt spid="_x0000_s7007"/>
                </a:ext>
                <a:ext uri="{FF2B5EF4-FFF2-40B4-BE49-F238E27FC236}">
                  <a16:creationId xmlns:a16="http://schemas.microsoft.com/office/drawing/2014/main" id="{00000000-0008-0000-0400-00005F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008" name="Check Box 864" hidden="1">
              <a:extLst>
                <a:ext uri="{63B3BB69-23CF-44E3-9099-C40C66FF867C}">
                  <a14:compatExt spid="_x0000_s7008"/>
                </a:ext>
                <a:ext uri="{FF2B5EF4-FFF2-40B4-BE49-F238E27FC236}">
                  <a16:creationId xmlns:a16="http://schemas.microsoft.com/office/drawing/2014/main" id="{00000000-0008-0000-0400-000060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009" name="Check Box 865" hidden="1">
              <a:extLst>
                <a:ext uri="{63B3BB69-23CF-44E3-9099-C40C66FF867C}">
                  <a14:compatExt spid="_x0000_s7009"/>
                </a:ext>
                <a:ext uri="{FF2B5EF4-FFF2-40B4-BE49-F238E27FC236}">
                  <a16:creationId xmlns:a16="http://schemas.microsoft.com/office/drawing/2014/main" id="{00000000-0008-0000-0400-000061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010" name="Check Box 866" hidden="1">
              <a:extLst>
                <a:ext uri="{63B3BB69-23CF-44E3-9099-C40C66FF867C}">
                  <a14:compatExt spid="_x0000_s7010"/>
                </a:ext>
                <a:ext uri="{FF2B5EF4-FFF2-40B4-BE49-F238E27FC236}">
                  <a16:creationId xmlns:a16="http://schemas.microsoft.com/office/drawing/2014/main" id="{00000000-0008-0000-0400-000062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011" name="Check Box 867" hidden="1">
              <a:extLst>
                <a:ext uri="{63B3BB69-23CF-44E3-9099-C40C66FF867C}">
                  <a14:compatExt spid="_x0000_s7011"/>
                </a:ext>
                <a:ext uri="{FF2B5EF4-FFF2-40B4-BE49-F238E27FC236}">
                  <a16:creationId xmlns:a16="http://schemas.microsoft.com/office/drawing/2014/main" id="{00000000-0008-0000-0400-000063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012" name="Check Box 868" hidden="1">
              <a:extLst>
                <a:ext uri="{63B3BB69-23CF-44E3-9099-C40C66FF867C}">
                  <a14:compatExt spid="_x0000_s7012"/>
                </a:ext>
                <a:ext uri="{FF2B5EF4-FFF2-40B4-BE49-F238E27FC236}">
                  <a16:creationId xmlns:a16="http://schemas.microsoft.com/office/drawing/2014/main" id="{00000000-0008-0000-0400-000064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013" name="Check Box 869" hidden="1">
              <a:extLst>
                <a:ext uri="{63B3BB69-23CF-44E3-9099-C40C66FF867C}">
                  <a14:compatExt spid="_x0000_s7013"/>
                </a:ext>
                <a:ext uri="{FF2B5EF4-FFF2-40B4-BE49-F238E27FC236}">
                  <a16:creationId xmlns:a16="http://schemas.microsoft.com/office/drawing/2014/main" id="{00000000-0008-0000-0400-000065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014" name="Check Box 870" hidden="1">
              <a:extLst>
                <a:ext uri="{63B3BB69-23CF-44E3-9099-C40C66FF867C}">
                  <a14:compatExt spid="_x0000_s7014"/>
                </a:ext>
                <a:ext uri="{FF2B5EF4-FFF2-40B4-BE49-F238E27FC236}">
                  <a16:creationId xmlns:a16="http://schemas.microsoft.com/office/drawing/2014/main" id="{00000000-0008-0000-0400-000066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015" name="Check Box 871" hidden="1">
              <a:extLst>
                <a:ext uri="{63B3BB69-23CF-44E3-9099-C40C66FF867C}">
                  <a14:compatExt spid="_x0000_s7015"/>
                </a:ext>
                <a:ext uri="{FF2B5EF4-FFF2-40B4-BE49-F238E27FC236}">
                  <a16:creationId xmlns:a16="http://schemas.microsoft.com/office/drawing/2014/main" id="{00000000-0008-0000-0400-000067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016" name="Check Box 872" hidden="1">
              <a:extLst>
                <a:ext uri="{63B3BB69-23CF-44E3-9099-C40C66FF867C}">
                  <a14:compatExt spid="_x0000_s7016"/>
                </a:ext>
                <a:ext uri="{FF2B5EF4-FFF2-40B4-BE49-F238E27FC236}">
                  <a16:creationId xmlns:a16="http://schemas.microsoft.com/office/drawing/2014/main" id="{00000000-0008-0000-0400-000068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017" name="Check Box 873" hidden="1">
              <a:extLst>
                <a:ext uri="{63B3BB69-23CF-44E3-9099-C40C66FF867C}">
                  <a14:compatExt spid="_x0000_s7017"/>
                </a:ext>
                <a:ext uri="{FF2B5EF4-FFF2-40B4-BE49-F238E27FC236}">
                  <a16:creationId xmlns:a16="http://schemas.microsoft.com/office/drawing/2014/main" id="{00000000-0008-0000-0400-000069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018" name="Check Box 874" hidden="1">
              <a:extLst>
                <a:ext uri="{63B3BB69-23CF-44E3-9099-C40C66FF867C}">
                  <a14:compatExt spid="_x0000_s7018"/>
                </a:ext>
                <a:ext uri="{FF2B5EF4-FFF2-40B4-BE49-F238E27FC236}">
                  <a16:creationId xmlns:a16="http://schemas.microsoft.com/office/drawing/2014/main" id="{00000000-0008-0000-0400-00006A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019" name="Check Box 875" hidden="1">
              <a:extLst>
                <a:ext uri="{63B3BB69-23CF-44E3-9099-C40C66FF867C}">
                  <a14:compatExt spid="_x0000_s7019"/>
                </a:ext>
                <a:ext uri="{FF2B5EF4-FFF2-40B4-BE49-F238E27FC236}">
                  <a16:creationId xmlns:a16="http://schemas.microsoft.com/office/drawing/2014/main" id="{00000000-0008-0000-0400-00006B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020" name="Check Box 876" hidden="1">
              <a:extLst>
                <a:ext uri="{63B3BB69-23CF-44E3-9099-C40C66FF867C}">
                  <a14:compatExt spid="_x0000_s7020"/>
                </a:ext>
                <a:ext uri="{FF2B5EF4-FFF2-40B4-BE49-F238E27FC236}">
                  <a16:creationId xmlns:a16="http://schemas.microsoft.com/office/drawing/2014/main" id="{00000000-0008-0000-0400-00006C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021" name="Check Box 877" hidden="1">
              <a:extLst>
                <a:ext uri="{63B3BB69-23CF-44E3-9099-C40C66FF867C}">
                  <a14:compatExt spid="_x0000_s7021"/>
                </a:ext>
                <a:ext uri="{FF2B5EF4-FFF2-40B4-BE49-F238E27FC236}">
                  <a16:creationId xmlns:a16="http://schemas.microsoft.com/office/drawing/2014/main" id="{00000000-0008-0000-0400-00006D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022" name="Check Box 878" hidden="1">
              <a:extLst>
                <a:ext uri="{63B3BB69-23CF-44E3-9099-C40C66FF867C}">
                  <a14:compatExt spid="_x0000_s7022"/>
                </a:ext>
                <a:ext uri="{FF2B5EF4-FFF2-40B4-BE49-F238E27FC236}">
                  <a16:creationId xmlns:a16="http://schemas.microsoft.com/office/drawing/2014/main" id="{00000000-0008-0000-0400-00006E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023" name="Check Box 879" hidden="1">
              <a:extLst>
                <a:ext uri="{63B3BB69-23CF-44E3-9099-C40C66FF867C}">
                  <a14:compatExt spid="_x0000_s7023"/>
                </a:ext>
                <a:ext uri="{FF2B5EF4-FFF2-40B4-BE49-F238E27FC236}">
                  <a16:creationId xmlns:a16="http://schemas.microsoft.com/office/drawing/2014/main" id="{00000000-0008-0000-0400-00006F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024" name="Check Box 880" hidden="1">
              <a:extLst>
                <a:ext uri="{63B3BB69-23CF-44E3-9099-C40C66FF867C}">
                  <a14:compatExt spid="_x0000_s7024"/>
                </a:ext>
                <a:ext uri="{FF2B5EF4-FFF2-40B4-BE49-F238E27FC236}">
                  <a16:creationId xmlns:a16="http://schemas.microsoft.com/office/drawing/2014/main" id="{00000000-0008-0000-0400-000070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025" name="Check Box 881" hidden="1">
              <a:extLst>
                <a:ext uri="{63B3BB69-23CF-44E3-9099-C40C66FF867C}">
                  <a14:compatExt spid="_x0000_s7025"/>
                </a:ext>
                <a:ext uri="{FF2B5EF4-FFF2-40B4-BE49-F238E27FC236}">
                  <a16:creationId xmlns:a16="http://schemas.microsoft.com/office/drawing/2014/main" id="{00000000-0008-0000-0400-000071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026" name="Check Box 882" hidden="1">
              <a:extLst>
                <a:ext uri="{63B3BB69-23CF-44E3-9099-C40C66FF867C}">
                  <a14:compatExt spid="_x0000_s7026"/>
                </a:ext>
                <a:ext uri="{FF2B5EF4-FFF2-40B4-BE49-F238E27FC236}">
                  <a16:creationId xmlns:a16="http://schemas.microsoft.com/office/drawing/2014/main" id="{00000000-0008-0000-0400-000072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027" name="Check Box 883" hidden="1">
              <a:extLst>
                <a:ext uri="{63B3BB69-23CF-44E3-9099-C40C66FF867C}">
                  <a14:compatExt spid="_x0000_s7027"/>
                </a:ext>
                <a:ext uri="{FF2B5EF4-FFF2-40B4-BE49-F238E27FC236}">
                  <a16:creationId xmlns:a16="http://schemas.microsoft.com/office/drawing/2014/main" id="{00000000-0008-0000-0400-000073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028" name="Check Box 884" hidden="1">
              <a:extLst>
                <a:ext uri="{63B3BB69-23CF-44E3-9099-C40C66FF867C}">
                  <a14:compatExt spid="_x0000_s7028"/>
                </a:ext>
                <a:ext uri="{FF2B5EF4-FFF2-40B4-BE49-F238E27FC236}">
                  <a16:creationId xmlns:a16="http://schemas.microsoft.com/office/drawing/2014/main" id="{00000000-0008-0000-0400-000074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029" name="Check Box 885" hidden="1">
              <a:extLst>
                <a:ext uri="{63B3BB69-23CF-44E3-9099-C40C66FF867C}">
                  <a14:compatExt spid="_x0000_s7029"/>
                </a:ext>
                <a:ext uri="{FF2B5EF4-FFF2-40B4-BE49-F238E27FC236}">
                  <a16:creationId xmlns:a16="http://schemas.microsoft.com/office/drawing/2014/main" id="{00000000-0008-0000-0400-000075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030" name="Check Box 886" hidden="1">
              <a:extLst>
                <a:ext uri="{63B3BB69-23CF-44E3-9099-C40C66FF867C}">
                  <a14:compatExt spid="_x0000_s7030"/>
                </a:ext>
                <a:ext uri="{FF2B5EF4-FFF2-40B4-BE49-F238E27FC236}">
                  <a16:creationId xmlns:a16="http://schemas.microsoft.com/office/drawing/2014/main" id="{00000000-0008-0000-0400-000076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031" name="Check Box 887" hidden="1">
              <a:extLst>
                <a:ext uri="{63B3BB69-23CF-44E3-9099-C40C66FF867C}">
                  <a14:compatExt spid="_x0000_s7031"/>
                </a:ext>
                <a:ext uri="{FF2B5EF4-FFF2-40B4-BE49-F238E27FC236}">
                  <a16:creationId xmlns:a16="http://schemas.microsoft.com/office/drawing/2014/main" id="{00000000-0008-0000-0400-000077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032" name="Check Box 888" hidden="1">
              <a:extLst>
                <a:ext uri="{63B3BB69-23CF-44E3-9099-C40C66FF867C}">
                  <a14:compatExt spid="_x0000_s7032"/>
                </a:ext>
                <a:ext uri="{FF2B5EF4-FFF2-40B4-BE49-F238E27FC236}">
                  <a16:creationId xmlns:a16="http://schemas.microsoft.com/office/drawing/2014/main" id="{00000000-0008-0000-0400-000078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033" name="Check Box 889" hidden="1">
              <a:extLst>
                <a:ext uri="{63B3BB69-23CF-44E3-9099-C40C66FF867C}">
                  <a14:compatExt spid="_x0000_s7033"/>
                </a:ext>
                <a:ext uri="{FF2B5EF4-FFF2-40B4-BE49-F238E27FC236}">
                  <a16:creationId xmlns:a16="http://schemas.microsoft.com/office/drawing/2014/main" id="{00000000-0008-0000-0400-000079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034" name="Check Box 890" hidden="1">
              <a:extLst>
                <a:ext uri="{63B3BB69-23CF-44E3-9099-C40C66FF867C}">
                  <a14:compatExt spid="_x0000_s7034"/>
                </a:ext>
                <a:ext uri="{FF2B5EF4-FFF2-40B4-BE49-F238E27FC236}">
                  <a16:creationId xmlns:a16="http://schemas.microsoft.com/office/drawing/2014/main" id="{00000000-0008-0000-0400-00007A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035" name="Check Box 891" hidden="1">
              <a:extLst>
                <a:ext uri="{63B3BB69-23CF-44E3-9099-C40C66FF867C}">
                  <a14:compatExt spid="_x0000_s7035"/>
                </a:ext>
                <a:ext uri="{FF2B5EF4-FFF2-40B4-BE49-F238E27FC236}">
                  <a16:creationId xmlns:a16="http://schemas.microsoft.com/office/drawing/2014/main" id="{00000000-0008-0000-0400-00007B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036" name="Check Box 892" hidden="1">
              <a:extLst>
                <a:ext uri="{63B3BB69-23CF-44E3-9099-C40C66FF867C}">
                  <a14:compatExt spid="_x0000_s7036"/>
                </a:ext>
                <a:ext uri="{FF2B5EF4-FFF2-40B4-BE49-F238E27FC236}">
                  <a16:creationId xmlns:a16="http://schemas.microsoft.com/office/drawing/2014/main" id="{00000000-0008-0000-0400-00007C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037" name="Check Box 893" hidden="1">
              <a:extLst>
                <a:ext uri="{63B3BB69-23CF-44E3-9099-C40C66FF867C}">
                  <a14:compatExt spid="_x0000_s7037"/>
                </a:ext>
                <a:ext uri="{FF2B5EF4-FFF2-40B4-BE49-F238E27FC236}">
                  <a16:creationId xmlns:a16="http://schemas.microsoft.com/office/drawing/2014/main" id="{00000000-0008-0000-0400-00007D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038" name="Check Box 894" hidden="1">
              <a:extLst>
                <a:ext uri="{63B3BB69-23CF-44E3-9099-C40C66FF867C}">
                  <a14:compatExt spid="_x0000_s7038"/>
                </a:ext>
                <a:ext uri="{FF2B5EF4-FFF2-40B4-BE49-F238E27FC236}">
                  <a16:creationId xmlns:a16="http://schemas.microsoft.com/office/drawing/2014/main" id="{00000000-0008-0000-0400-00007E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039" name="Check Box 895" hidden="1">
              <a:extLst>
                <a:ext uri="{63B3BB69-23CF-44E3-9099-C40C66FF867C}">
                  <a14:compatExt spid="_x0000_s7039"/>
                </a:ext>
                <a:ext uri="{FF2B5EF4-FFF2-40B4-BE49-F238E27FC236}">
                  <a16:creationId xmlns:a16="http://schemas.microsoft.com/office/drawing/2014/main" id="{00000000-0008-0000-0400-00007F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040" name="Check Box 896" hidden="1">
              <a:extLst>
                <a:ext uri="{63B3BB69-23CF-44E3-9099-C40C66FF867C}">
                  <a14:compatExt spid="_x0000_s7040"/>
                </a:ext>
                <a:ext uri="{FF2B5EF4-FFF2-40B4-BE49-F238E27FC236}">
                  <a16:creationId xmlns:a16="http://schemas.microsoft.com/office/drawing/2014/main" id="{00000000-0008-0000-0400-000080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041" name="Check Box 897" hidden="1">
              <a:extLst>
                <a:ext uri="{63B3BB69-23CF-44E3-9099-C40C66FF867C}">
                  <a14:compatExt spid="_x0000_s7041"/>
                </a:ext>
                <a:ext uri="{FF2B5EF4-FFF2-40B4-BE49-F238E27FC236}">
                  <a16:creationId xmlns:a16="http://schemas.microsoft.com/office/drawing/2014/main" id="{00000000-0008-0000-0400-000081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042" name="Check Box 898" hidden="1">
              <a:extLst>
                <a:ext uri="{63B3BB69-23CF-44E3-9099-C40C66FF867C}">
                  <a14:compatExt spid="_x0000_s7042"/>
                </a:ext>
                <a:ext uri="{FF2B5EF4-FFF2-40B4-BE49-F238E27FC236}">
                  <a16:creationId xmlns:a16="http://schemas.microsoft.com/office/drawing/2014/main" id="{00000000-0008-0000-0400-000082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043" name="Check Box 899" hidden="1">
              <a:extLst>
                <a:ext uri="{63B3BB69-23CF-44E3-9099-C40C66FF867C}">
                  <a14:compatExt spid="_x0000_s7043"/>
                </a:ext>
                <a:ext uri="{FF2B5EF4-FFF2-40B4-BE49-F238E27FC236}">
                  <a16:creationId xmlns:a16="http://schemas.microsoft.com/office/drawing/2014/main" id="{00000000-0008-0000-0400-000083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044" name="Check Box 900" hidden="1">
              <a:extLst>
                <a:ext uri="{63B3BB69-23CF-44E3-9099-C40C66FF867C}">
                  <a14:compatExt spid="_x0000_s7044"/>
                </a:ext>
                <a:ext uri="{FF2B5EF4-FFF2-40B4-BE49-F238E27FC236}">
                  <a16:creationId xmlns:a16="http://schemas.microsoft.com/office/drawing/2014/main" id="{00000000-0008-0000-0400-000084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045" name="Check Box 901" hidden="1">
              <a:extLst>
                <a:ext uri="{63B3BB69-23CF-44E3-9099-C40C66FF867C}">
                  <a14:compatExt spid="_x0000_s7045"/>
                </a:ext>
                <a:ext uri="{FF2B5EF4-FFF2-40B4-BE49-F238E27FC236}">
                  <a16:creationId xmlns:a16="http://schemas.microsoft.com/office/drawing/2014/main" id="{00000000-0008-0000-0400-000085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046" name="Check Box 902" hidden="1">
              <a:extLst>
                <a:ext uri="{63B3BB69-23CF-44E3-9099-C40C66FF867C}">
                  <a14:compatExt spid="_x0000_s7046"/>
                </a:ext>
                <a:ext uri="{FF2B5EF4-FFF2-40B4-BE49-F238E27FC236}">
                  <a16:creationId xmlns:a16="http://schemas.microsoft.com/office/drawing/2014/main" id="{00000000-0008-0000-0400-000086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047" name="Check Box 903" hidden="1">
              <a:extLst>
                <a:ext uri="{63B3BB69-23CF-44E3-9099-C40C66FF867C}">
                  <a14:compatExt spid="_x0000_s7047"/>
                </a:ext>
                <a:ext uri="{FF2B5EF4-FFF2-40B4-BE49-F238E27FC236}">
                  <a16:creationId xmlns:a16="http://schemas.microsoft.com/office/drawing/2014/main" id="{00000000-0008-0000-0400-000087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048" name="Check Box 904" hidden="1">
              <a:extLst>
                <a:ext uri="{63B3BB69-23CF-44E3-9099-C40C66FF867C}">
                  <a14:compatExt spid="_x0000_s7048"/>
                </a:ext>
                <a:ext uri="{FF2B5EF4-FFF2-40B4-BE49-F238E27FC236}">
                  <a16:creationId xmlns:a16="http://schemas.microsoft.com/office/drawing/2014/main" id="{00000000-0008-0000-0400-000088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049" name="Check Box 905" hidden="1">
              <a:extLst>
                <a:ext uri="{63B3BB69-23CF-44E3-9099-C40C66FF867C}">
                  <a14:compatExt spid="_x0000_s7049"/>
                </a:ext>
                <a:ext uri="{FF2B5EF4-FFF2-40B4-BE49-F238E27FC236}">
                  <a16:creationId xmlns:a16="http://schemas.microsoft.com/office/drawing/2014/main" id="{00000000-0008-0000-0400-000089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050" name="Check Box 906" hidden="1">
              <a:extLst>
                <a:ext uri="{63B3BB69-23CF-44E3-9099-C40C66FF867C}">
                  <a14:compatExt spid="_x0000_s7050"/>
                </a:ext>
                <a:ext uri="{FF2B5EF4-FFF2-40B4-BE49-F238E27FC236}">
                  <a16:creationId xmlns:a16="http://schemas.microsoft.com/office/drawing/2014/main" id="{00000000-0008-0000-0400-00008A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051" name="Check Box 907" hidden="1">
              <a:extLst>
                <a:ext uri="{63B3BB69-23CF-44E3-9099-C40C66FF867C}">
                  <a14:compatExt spid="_x0000_s7051"/>
                </a:ext>
                <a:ext uri="{FF2B5EF4-FFF2-40B4-BE49-F238E27FC236}">
                  <a16:creationId xmlns:a16="http://schemas.microsoft.com/office/drawing/2014/main" id="{00000000-0008-0000-0400-00008B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052" name="Check Box 908" hidden="1">
              <a:extLst>
                <a:ext uri="{63B3BB69-23CF-44E3-9099-C40C66FF867C}">
                  <a14:compatExt spid="_x0000_s7052"/>
                </a:ext>
                <a:ext uri="{FF2B5EF4-FFF2-40B4-BE49-F238E27FC236}">
                  <a16:creationId xmlns:a16="http://schemas.microsoft.com/office/drawing/2014/main" id="{00000000-0008-0000-0400-00008C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053" name="Check Box 909" hidden="1">
              <a:extLst>
                <a:ext uri="{63B3BB69-23CF-44E3-9099-C40C66FF867C}">
                  <a14:compatExt spid="_x0000_s7053"/>
                </a:ext>
                <a:ext uri="{FF2B5EF4-FFF2-40B4-BE49-F238E27FC236}">
                  <a16:creationId xmlns:a16="http://schemas.microsoft.com/office/drawing/2014/main" id="{00000000-0008-0000-0400-00008D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054" name="Check Box 910" hidden="1">
              <a:extLst>
                <a:ext uri="{63B3BB69-23CF-44E3-9099-C40C66FF867C}">
                  <a14:compatExt spid="_x0000_s7054"/>
                </a:ext>
                <a:ext uri="{FF2B5EF4-FFF2-40B4-BE49-F238E27FC236}">
                  <a16:creationId xmlns:a16="http://schemas.microsoft.com/office/drawing/2014/main" id="{00000000-0008-0000-0400-00008E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055" name="Check Box 911" hidden="1">
              <a:extLst>
                <a:ext uri="{63B3BB69-23CF-44E3-9099-C40C66FF867C}">
                  <a14:compatExt spid="_x0000_s7055"/>
                </a:ext>
                <a:ext uri="{FF2B5EF4-FFF2-40B4-BE49-F238E27FC236}">
                  <a16:creationId xmlns:a16="http://schemas.microsoft.com/office/drawing/2014/main" id="{00000000-0008-0000-0400-00008F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056" name="Check Box 912" hidden="1">
              <a:extLst>
                <a:ext uri="{63B3BB69-23CF-44E3-9099-C40C66FF867C}">
                  <a14:compatExt spid="_x0000_s7056"/>
                </a:ext>
                <a:ext uri="{FF2B5EF4-FFF2-40B4-BE49-F238E27FC236}">
                  <a16:creationId xmlns:a16="http://schemas.microsoft.com/office/drawing/2014/main" id="{00000000-0008-0000-0400-000090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057" name="Check Box 913" hidden="1">
              <a:extLst>
                <a:ext uri="{63B3BB69-23CF-44E3-9099-C40C66FF867C}">
                  <a14:compatExt spid="_x0000_s7057"/>
                </a:ext>
                <a:ext uri="{FF2B5EF4-FFF2-40B4-BE49-F238E27FC236}">
                  <a16:creationId xmlns:a16="http://schemas.microsoft.com/office/drawing/2014/main" id="{00000000-0008-0000-0400-000091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058" name="Check Box 914" hidden="1">
              <a:extLst>
                <a:ext uri="{63B3BB69-23CF-44E3-9099-C40C66FF867C}">
                  <a14:compatExt spid="_x0000_s7058"/>
                </a:ext>
                <a:ext uri="{FF2B5EF4-FFF2-40B4-BE49-F238E27FC236}">
                  <a16:creationId xmlns:a16="http://schemas.microsoft.com/office/drawing/2014/main" id="{00000000-0008-0000-0400-000092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059" name="Check Box 915" hidden="1">
              <a:extLst>
                <a:ext uri="{63B3BB69-23CF-44E3-9099-C40C66FF867C}">
                  <a14:compatExt spid="_x0000_s7059"/>
                </a:ext>
                <a:ext uri="{FF2B5EF4-FFF2-40B4-BE49-F238E27FC236}">
                  <a16:creationId xmlns:a16="http://schemas.microsoft.com/office/drawing/2014/main" id="{00000000-0008-0000-0400-000093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060" name="Check Box 916" hidden="1">
              <a:extLst>
                <a:ext uri="{63B3BB69-23CF-44E3-9099-C40C66FF867C}">
                  <a14:compatExt spid="_x0000_s7060"/>
                </a:ext>
                <a:ext uri="{FF2B5EF4-FFF2-40B4-BE49-F238E27FC236}">
                  <a16:creationId xmlns:a16="http://schemas.microsoft.com/office/drawing/2014/main" id="{00000000-0008-0000-0400-000094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061" name="Check Box 917" hidden="1">
              <a:extLst>
                <a:ext uri="{63B3BB69-23CF-44E3-9099-C40C66FF867C}">
                  <a14:compatExt spid="_x0000_s7061"/>
                </a:ext>
                <a:ext uri="{FF2B5EF4-FFF2-40B4-BE49-F238E27FC236}">
                  <a16:creationId xmlns:a16="http://schemas.microsoft.com/office/drawing/2014/main" id="{00000000-0008-0000-0400-000095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062" name="Check Box 918" hidden="1">
              <a:extLst>
                <a:ext uri="{63B3BB69-23CF-44E3-9099-C40C66FF867C}">
                  <a14:compatExt spid="_x0000_s7062"/>
                </a:ext>
                <a:ext uri="{FF2B5EF4-FFF2-40B4-BE49-F238E27FC236}">
                  <a16:creationId xmlns:a16="http://schemas.microsoft.com/office/drawing/2014/main" id="{00000000-0008-0000-0400-000096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063" name="Check Box 919" hidden="1">
              <a:extLst>
                <a:ext uri="{63B3BB69-23CF-44E3-9099-C40C66FF867C}">
                  <a14:compatExt spid="_x0000_s7063"/>
                </a:ext>
                <a:ext uri="{FF2B5EF4-FFF2-40B4-BE49-F238E27FC236}">
                  <a16:creationId xmlns:a16="http://schemas.microsoft.com/office/drawing/2014/main" id="{00000000-0008-0000-0400-000097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064" name="Check Box 920" hidden="1">
              <a:extLst>
                <a:ext uri="{63B3BB69-23CF-44E3-9099-C40C66FF867C}">
                  <a14:compatExt spid="_x0000_s7064"/>
                </a:ext>
                <a:ext uri="{FF2B5EF4-FFF2-40B4-BE49-F238E27FC236}">
                  <a16:creationId xmlns:a16="http://schemas.microsoft.com/office/drawing/2014/main" id="{00000000-0008-0000-0400-000098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065" name="Check Box 921" hidden="1">
              <a:extLst>
                <a:ext uri="{63B3BB69-23CF-44E3-9099-C40C66FF867C}">
                  <a14:compatExt spid="_x0000_s7065"/>
                </a:ext>
                <a:ext uri="{FF2B5EF4-FFF2-40B4-BE49-F238E27FC236}">
                  <a16:creationId xmlns:a16="http://schemas.microsoft.com/office/drawing/2014/main" id="{00000000-0008-0000-0400-000099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066" name="Check Box 922" hidden="1">
              <a:extLst>
                <a:ext uri="{63B3BB69-23CF-44E3-9099-C40C66FF867C}">
                  <a14:compatExt spid="_x0000_s7066"/>
                </a:ext>
                <a:ext uri="{FF2B5EF4-FFF2-40B4-BE49-F238E27FC236}">
                  <a16:creationId xmlns:a16="http://schemas.microsoft.com/office/drawing/2014/main" id="{00000000-0008-0000-0400-00009A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067" name="Check Box 923" hidden="1">
              <a:extLst>
                <a:ext uri="{63B3BB69-23CF-44E3-9099-C40C66FF867C}">
                  <a14:compatExt spid="_x0000_s7067"/>
                </a:ext>
                <a:ext uri="{FF2B5EF4-FFF2-40B4-BE49-F238E27FC236}">
                  <a16:creationId xmlns:a16="http://schemas.microsoft.com/office/drawing/2014/main" id="{00000000-0008-0000-0400-00009B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068" name="Check Box 924" hidden="1">
              <a:extLst>
                <a:ext uri="{63B3BB69-23CF-44E3-9099-C40C66FF867C}">
                  <a14:compatExt spid="_x0000_s7068"/>
                </a:ext>
                <a:ext uri="{FF2B5EF4-FFF2-40B4-BE49-F238E27FC236}">
                  <a16:creationId xmlns:a16="http://schemas.microsoft.com/office/drawing/2014/main" id="{00000000-0008-0000-0400-00009C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069" name="Check Box 925" hidden="1">
              <a:extLst>
                <a:ext uri="{63B3BB69-23CF-44E3-9099-C40C66FF867C}">
                  <a14:compatExt spid="_x0000_s7069"/>
                </a:ext>
                <a:ext uri="{FF2B5EF4-FFF2-40B4-BE49-F238E27FC236}">
                  <a16:creationId xmlns:a16="http://schemas.microsoft.com/office/drawing/2014/main" id="{00000000-0008-0000-0400-00009D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070" name="Check Box 926" hidden="1">
              <a:extLst>
                <a:ext uri="{63B3BB69-23CF-44E3-9099-C40C66FF867C}">
                  <a14:compatExt spid="_x0000_s7070"/>
                </a:ext>
                <a:ext uri="{FF2B5EF4-FFF2-40B4-BE49-F238E27FC236}">
                  <a16:creationId xmlns:a16="http://schemas.microsoft.com/office/drawing/2014/main" id="{00000000-0008-0000-0400-00009E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071" name="Check Box 927" hidden="1">
              <a:extLst>
                <a:ext uri="{63B3BB69-23CF-44E3-9099-C40C66FF867C}">
                  <a14:compatExt spid="_x0000_s7071"/>
                </a:ext>
                <a:ext uri="{FF2B5EF4-FFF2-40B4-BE49-F238E27FC236}">
                  <a16:creationId xmlns:a16="http://schemas.microsoft.com/office/drawing/2014/main" id="{00000000-0008-0000-0400-00009F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072" name="Check Box 928" hidden="1">
              <a:extLst>
                <a:ext uri="{63B3BB69-23CF-44E3-9099-C40C66FF867C}">
                  <a14:compatExt spid="_x0000_s7072"/>
                </a:ext>
                <a:ext uri="{FF2B5EF4-FFF2-40B4-BE49-F238E27FC236}">
                  <a16:creationId xmlns:a16="http://schemas.microsoft.com/office/drawing/2014/main" id="{00000000-0008-0000-0400-0000A0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073" name="Check Box 929" hidden="1">
              <a:extLst>
                <a:ext uri="{63B3BB69-23CF-44E3-9099-C40C66FF867C}">
                  <a14:compatExt spid="_x0000_s7073"/>
                </a:ext>
                <a:ext uri="{FF2B5EF4-FFF2-40B4-BE49-F238E27FC236}">
                  <a16:creationId xmlns:a16="http://schemas.microsoft.com/office/drawing/2014/main" id="{00000000-0008-0000-0400-0000A1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074" name="Check Box 930" hidden="1">
              <a:extLst>
                <a:ext uri="{63B3BB69-23CF-44E3-9099-C40C66FF867C}">
                  <a14:compatExt spid="_x0000_s7074"/>
                </a:ext>
                <a:ext uri="{FF2B5EF4-FFF2-40B4-BE49-F238E27FC236}">
                  <a16:creationId xmlns:a16="http://schemas.microsoft.com/office/drawing/2014/main" id="{00000000-0008-0000-0400-0000A2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075" name="Check Box 931" hidden="1">
              <a:extLst>
                <a:ext uri="{63B3BB69-23CF-44E3-9099-C40C66FF867C}">
                  <a14:compatExt spid="_x0000_s7075"/>
                </a:ext>
                <a:ext uri="{FF2B5EF4-FFF2-40B4-BE49-F238E27FC236}">
                  <a16:creationId xmlns:a16="http://schemas.microsoft.com/office/drawing/2014/main" id="{00000000-0008-0000-0400-0000A3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076" name="Check Box 932" hidden="1">
              <a:extLst>
                <a:ext uri="{63B3BB69-23CF-44E3-9099-C40C66FF867C}">
                  <a14:compatExt spid="_x0000_s7076"/>
                </a:ext>
                <a:ext uri="{FF2B5EF4-FFF2-40B4-BE49-F238E27FC236}">
                  <a16:creationId xmlns:a16="http://schemas.microsoft.com/office/drawing/2014/main" id="{00000000-0008-0000-0400-0000A4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077" name="Check Box 933" hidden="1">
              <a:extLst>
                <a:ext uri="{63B3BB69-23CF-44E3-9099-C40C66FF867C}">
                  <a14:compatExt spid="_x0000_s7077"/>
                </a:ext>
                <a:ext uri="{FF2B5EF4-FFF2-40B4-BE49-F238E27FC236}">
                  <a16:creationId xmlns:a16="http://schemas.microsoft.com/office/drawing/2014/main" id="{00000000-0008-0000-0400-0000A5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078" name="Check Box 934" hidden="1">
              <a:extLst>
                <a:ext uri="{63B3BB69-23CF-44E3-9099-C40C66FF867C}">
                  <a14:compatExt spid="_x0000_s7078"/>
                </a:ext>
                <a:ext uri="{FF2B5EF4-FFF2-40B4-BE49-F238E27FC236}">
                  <a16:creationId xmlns:a16="http://schemas.microsoft.com/office/drawing/2014/main" id="{00000000-0008-0000-0400-0000A6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079" name="Check Box 935" hidden="1">
              <a:extLst>
                <a:ext uri="{63B3BB69-23CF-44E3-9099-C40C66FF867C}">
                  <a14:compatExt spid="_x0000_s7079"/>
                </a:ext>
                <a:ext uri="{FF2B5EF4-FFF2-40B4-BE49-F238E27FC236}">
                  <a16:creationId xmlns:a16="http://schemas.microsoft.com/office/drawing/2014/main" id="{00000000-0008-0000-0400-0000A7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080" name="Check Box 936" hidden="1">
              <a:extLst>
                <a:ext uri="{63B3BB69-23CF-44E3-9099-C40C66FF867C}">
                  <a14:compatExt spid="_x0000_s7080"/>
                </a:ext>
                <a:ext uri="{FF2B5EF4-FFF2-40B4-BE49-F238E27FC236}">
                  <a16:creationId xmlns:a16="http://schemas.microsoft.com/office/drawing/2014/main" id="{00000000-0008-0000-0400-0000A8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081" name="Check Box 937" hidden="1">
              <a:extLst>
                <a:ext uri="{63B3BB69-23CF-44E3-9099-C40C66FF867C}">
                  <a14:compatExt spid="_x0000_s7081"/>
                </a:ext>
                <a:ext uri="{FF2B5EF4-FFF2-40B4-BE49-F238E27FC236}">
                  <a16:creationId xmlns:a16="http://schemas.microsoft.com/office/drawing/2014/main" id="{00000000-0008-0000-0400-0000A9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082" name="Check Box 938" hidden="1">
              <a:extLst>
                <a:ext uri="{63B3BB69-23CF-44E3-9099-C40C66FF867C}">
                  <a14:compatExt spid="_x0000_s7082"/>
                </a:ext>
                <a:ext uri="{FF2B5EF4-FFF2-40B4-BE49-F238E27FC236}">
                  <a16:creationId xmlns:a16="http://schemas.microsoft.com/office/drawing/2014/main" id="{00000000-0008-0000-0400-0000AA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083" name="Check Box 939" hidden="1">
              <a:extLst>
                <a:ext uri="{63B3BB69-23CF-44E3-9099-C40C66FF867C}">
                  <a14:compatExt spid="_x0000_s7083"/>
                </a:ext>
                <a:ext uri="{FF2B5EF4-FFF2-40B4-BE49-F238E27FC236}">
                  <a16:creationId xmlns:a16="http://schemas.microsoft.com/office/drawing/2014/main" id="{00000000-0008-0000-0400-0000AB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084" name="Check Box 940" hidden="1">
              <a:extLst>
                <a:ext uri="{63B3BB69-23CF-44E3-9099-C40C66FF867C}">
                  <a14:compatExt spid="_x0000_s7084"/>
                </a:ext>
                <a:ext uri="{FF2B5EF4-FFF2-40B4-BE49-F238E27FC236}">
                  <a16:creationId xmlns:a16="http://schemas.microsoft.com/office/drawing/2014/main" id="{00000000-0008-0000-0400-0000AC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085" name="Check Box 941" hidden="1">
              <a:extLst>
                <a:ext uri="{63B3BB69-23CF-44E3-9099-C40C66FF867C}">
                  <a14:compatExt spid="_x0000_s7085"/>
                </a:ext>
                <a:ext uri="{FF2B5EF4-FFF2-40B4-BE49-F238E27FC236}">
                  <a16:creationId xmlns:a16="http://schemas.microsoft.com/office/drawing/2014/main" id="{00000000-0008-0000-0400-0000AD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086" name="Check Box 942" hidden="1">
              <a:extLst>
                <a:ext uri="{63B3BB69-23CF-44E3-9099-C40C66FF867C}">
                  <a14:compatExt spid="_x0000_s7086"/>
                </a:ext>
                <a:ext uri="{FF2B5EF4-FFF2-40B4-BE49-F238E27FC236}">
                  <a16:creationId xmlns:a16="http://schemas.microsoft.com/office/drawing/2014/main" id="{00000000-0008-0000-0400-0000AE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087" name="Check Box 943" hidden="1">
              <a:extLst>
                <a:ext uri="{63B3BB69-23CF-44E3-9099-C40C66FF867C}">
                  <a14:compatExt spid="_x0000_s7087"/>
                </a:ext>
                <a:ext uri="{FF2B5EF4-FFF2-40B4-BE49-F238E27FC236}">
                  <a16:creationId xmlns:a16="http://schemas.microsoft.com/office/drawing/2014/main" id="{00000000-0008-0000-0400-0000AF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088" name="Check Box 944" hidden="1">
              <a:extLst>
                <a:ext uri="{63B3BB69-23CF-44E3-9099-C40C66FF867C}">
                  <a14:compatExt spid="_x0000_s7088"/>
                </a:ext>
                <a:ext uri="{FF2B5EF4-FFF2-40B4-BE49-F238E27FC236}">
                  <a16:creationId xmlns:a16="http://schemas.microsoft.com/office/drawing/2014/main" id="{00000000-0008-0000-0400-0000B0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089" name="Check Box 945" hidden="1">
              <a:extLst>
                <a:ext uri="{63B3BB69-23CF-44E3-9099-C40C66FF867C}">
                  <a14:compatExt spid="_x0000_s7089"/>
                </a:ext>
                <a:ext uri="{FF2B5EF4-FFF2-40B4-BE49-F238E27FC236}">
                  <a16:creationId xmlns:a16="http://schemas.microsoft.com/office/drawing/2014/main" id="{00000000-0008-0000-0400-0000B1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090" name="Check Box 946" hidden="1">
              <a:extLst>
                <a:ext uri="{63B3BB69-23CF-44E3-9099-C40C66FF867C}">
                  <a14:compatExt spid="_x0000_s7090"/>
                </a:ext>
                <a:ext uri="{FF2B5EF4-FFF2-40B4-BE49-F238E27FC236}">
                  <a16:creationId xmlns:a16="http://schemas.microsoft.com/office/drawing/2014/main" id="{00000000-0008-0000-0400-0000B2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091" name="Check Box 947" hidden="1">
              <a:extLst>
                <a:ext uri="{63B3BB69-23CF-44E3-9099-C40C66FF867C}">
                  <a14:compatExt spid="_x0000_s7091"/>
                </a:ext>
                <a:ext uri="{FF2B5EF4-FFF2-40B4-BE49-F238E27FC236}">
                  <a16:creationId xmlns:a16="http://schemas.microsoft.com/office/drawing/2014/main" id="{00000000-0008-0000-0400-0000B3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092" name="Check Box 948" hidden="1">
              <a:extLst>
                <a:ext uri="{63B3BB69-23CF-44E3-9099-C40C66FF867C}">
                  <a14:compatExt spid="_x0000_s7092"/>
                </a:ext>
                <a:ext uri="{FF2B5EF4-FFF2-40B4-BE49-F238E27FC236}">
                  <a16:creationId xmlns:a16="http://schemas.microsoft.com/office/drawing/2014/main" id="{00000000-0008-0000-0400-0000B4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093" name="Check Box 949" hidden="1">
              <a:extLst>
                <a:ext uri="{63B3BB69-23CF-44E3-9099-C40C66FF867C}">
                  <a14:compatExt spid="_x0000_s7093"/>
                </a:ext>
                <a:ext uri="{FF2B5EF4-FFF2-40B4-BE49-F238E27FC236}">
                  <a16:creationId xmlns:a16="http://schemas.microsoft.com/office/drawing/2014/main" id="{00000000-0008-0000-0400-0000B5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094" name="Check Box 950" hidden="1">
              <a:extLst>
                <a:ext uri="{63B3BB69-23CF-44E3-9099-C40C66FF867C}">
                  <a14:compatExt spid="_x0000_s7094"/>
                </a:ext>
                <a:ext uri="{FF2B5EF4-FFF2-40B4-BE49-F238E27FC236}">
                  <a16:creationId xmlns:a16="http://schemas.microsoft.com/office/drawing/2014/main" id="{00000000-0008-0000-0400-0000B6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095" name="Check Box 951" hidden="1">
              <a:extLst>
                <a:ext uri="{63B3BB69-23CF-44E3-9099-C40C66FF867C}">
                  <a14:compatExt spid="_x0000_s7095"/>
                </a:ext>
                <a:ext uri="{FF2B5EF4-FFF2-40B4-BE49-F238E27FC236}">
                  <a16:creationId xmlns:a16="http://schemas.microsoft.com/office/drawing/2014/main" id="{00000000-0008-0000-0400-0000B7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096" name="Check Box 952" hidden="1">
              <a:extLst>
                <a:ext uri="{63B3BB69-23CF-44E3-9099-C40C66FF867C}">
                  <a14:compatExt spid="_x0000_s7096"/>
                </a:ext>
                <a:ext uri="{FF2B5EF4-FFF2-40B4-BE49-F238E27FC236}">
                  <a16:creationId xmlns:a16="http://schemas.microsoft.com/office/drawing/2014/main" id="{00000000-0008-0000-0400-0000B8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097" name="Check Box 953" hidden="1">
              <a:extLst>
                <a:ext uri="{63B3BB69-23CF-44E3-9099-C40C66FF867C}">
                  <a14:compatExt spid="_x0000_s7097"/>
                </a:ext>
                <a:ext uri="{FF2B5EF4-FFF2-40B4-BE49-F238E27FC236}">
                  <a16:creationId xmlns:a16="http://schemas.microsoft.com/office/drawing/2014/main" id="{00000000-0008-0000-0400-0000B9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098" name="Check Box 954" hidden="1">
              <a:extLst>
                <a:ext uri="{63B3BB69-23CF-44E3-9099-C40C66FF867C}">
                  <a14:compatExt spid="_x0000_s7098"/>
                </a:ext>
                <a:ext uri="{FF2B5EF4-FFF2-40B4-BE49-F238E27FC236}">
                  <a16:creationId xmlns:a16="http://schemas.microsoft.com/office/drawing/2014/main" id="{00000000-0008-0000-0400-0000BA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099" name="Check Box 955" hidden="1">
              <a:extLst>
                <a:ext uri="{63B3BB69-23CF-44E3-9099-C40C66FF867C}">
                  <a14:compatExt spid="_x0000_s7099"/>
                </a:ext>
                <a:ext uri="{FF2B5EF4-FFF2-40B4-BE49-F238E27FC236}">
                  <a16:creationId xmlns:a16="http://schemas.microsoft.com/office/drawing/2014/main" id="{00000000-0008-0000-0400-0000BB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100" name="Check Box 956" hidden="1">
              <a:extLst>
                <a:ext uri="{63B3BB69-23CF-44E3-9099-C40C66FF867C}">
                  <a14:compatExt spid="_x0000_s7100"/>
                </a:ext>
                <a:ext uri="{FF2B5EF4-FFF2-40B4-BE49-F238E27FC236}">
                  <a16:creationId xmlns:a16="http://schemas.microsoft.com/office/drawing/2014/main" id="{00000000-0008-0000-0400-0000BC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101" name="Check Box 957" hidden="1">
              <a:extLst>
                <a:ext uri="{63B3BB69-23CF-44E3-9099-C40C66FF867C}">
                  <a14:compatExt spid="_x0000_s7101"/>
                </a:ext>
                <a:ext uri="{FF2B5EF4-FFF2-40B4-BE49-F238E27FC236}">
                  <a16:creationId xmlns:a16="http://schemas.microsoft.com/office/drawing/2014/main" id="{00000000-0008-0000-0400-0000BD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102" name="Check Box 958" hidden="1">
              <a:extLst>
                <a:ext uri="{63B3BB69-23CF-44E3-9099-C40C66FF867C}">
                  <a14:compatExt spid="_x0000_s7102"/>
                </a:ext>
                <a:ext uri="{FF2B5EF4-FFF2-40B4-BE49-F238E27FC236}">
                  <a16:creationId xmlns:a16="http://schemas.microsoft.com/office/drawing/2014/main" id="{00000000-0008-0000-0400-0000BE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103" name="Check Box 959" hidden="1">
              <a:extLst>
                <a:ext uri="{63B3BB69-23CF-44E3-9099-C40C66FF867C}">
                  <a14:compatExt spid="_x0000_s7103"/>
                </a:ext>
                <a:ext uri="{FF2B5EF4-FFF2-40B4-BE49-F238E27FC236}">
                  <a16:creationId xmlns:a16="http://schemas.microsoft.com/office/drawing/2014/main" id="{00000000-0008-0000-0400-0000BF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104" name="Check Box 960" hidden="1">
              <a:extLst>
                <a:ext uri="{63B3BB69-23CF-44E3-9099-C40C66FF867C}">
                  <a14:compatExt spid="_x0000_s7104"/>
                </a:ext>
                <a:ext uri="{FF2B5EF4-FFF2-40B4-BE49-F238E27FC236}">
                  <a16:creationId xmlns:a16="http://schemas.microsoft.com/office/drawing/2014/main" id="{00000000-0008-0000-0400-0000C0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105" name="Check Box 961" hidden="1">
              <a:extLst>
                <a:ext uri="{63B3BB69-23CF-44E3-9099-C40C66FF867C}">
                  <a14:compatExt spid="_x0000_s7105"/>
                </a:ext>
                <a:ext uri="{FF2B5EF4-FFF2-40B4-BE49-F238E27FC236}">
                  <a16:creationId xmlns:a16="http://schemas.microsoft.com/office/drawing/2014/main" id="{00000000-0008-0000-0400-0000C1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106" name="Check Box 962" hidden="1">
              <a:extLst>
                <a:ext uri="{63B3BB69-23CF-44E3-9099-C40C66FF867C}">
                  <a14:compatExt spid="_x0000_s7106"/>
                </a:ext>
                <a:ext uri="{FF2B5EF4-FFF2-40B4-BE49-F238E27FC236}">
                  <a16:creationId xmlns:a16="http://schemas.microsoft.com/office/drawing/2014/main" id="{00000000-0008-0000-0400-0000C2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107" name="Check Box 963" hidden="1">
              <a:extLst>
                <a:ext uri="{63B3BB69-23CF-44E3-9099-C40C66FF867C}">
                  <a14:compatExt spid="_x0000_s7107"/>
                </a:ext>
                <a:ext uri="{FF2B5EF4-FFF2-40B4-BE49-F238E27FC236}">
                  <a16:creationId xmlns:a16="http://schemas.microsoft.com/office/drawing/2014/main" id="{00000000-0008-0000-0400-0000C3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108" name="Check Box 964" hidden="1">
              <a:extLst>
                <a:ext uri="{63B3BB69-23CF-44E3-9099-C40C66FF867C}">
                  <a14:compatExt spid="_x0000_s7108"/>
                </a:ext>
                <a:ext uri="{FF2B5EF4-FFF2-40B4-BE49-F238E27FC236}">
                  <a16:creationId xmlns:a16="http://schemas.microsoft.com/office/drawing/2014/main" id="{00000000-0008-0000-0400-0000C4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109" name="Check Box 965" hidden="1">
              <a:extLst>
                <a:ext uri="{63B3BB69-23CF-44E3-9099-C40C66FF867C}">
                  <a14:compatExt spid="_x0000_s7109"/>
                </a:ext>
                <a:ext uri="{FF2B5EF4-FFF2-40B4-BE49-F238E27FC236}">
                  <a16:creationId xmlns:a16="http://schemas.microsoft.com/office/drawing/2014/main" id="{00000000-0008-0000-0400-0000C5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110" name="Check Box 966" hidden="1">
              <a:extLst>
                <a:ext uri="{63B3BB69-23CF-44E3-9099-C40C66FF867C}">
                  <a14:compatExt spid="_x0000_s7110"/>
                </a:ext>
                <a:ext uri="{FF2B5EF4-FFF2-40B4-BE49-F238E27FC236}">
                  <a16:creationId xmlns:a16="http://schemas.microsoft.com/office/drawing/2014/main" id="{00000000-0008-0000-0400-0000C6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111" name="Check Box 967" hidden="1">
              <a:extLst>
                <a:ext uri="{63B3BB69-23CF-44E3-9099-C40C66FF867C}">
                  <a14:compatExt spid="_x0000_s7111"/>
                </a:ext>
                <a:ext uri="{FF2B5EF4-FFF2-40B4-BE49-F238E27FC236}">
                  <a16:creationId xmlns:a16="http://schemas.microsoft.com/office/drawing/2014/main" id="{00000000-0008-0000-0400-0000C7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112" name="Check Box 968" hidden="1">
              <a:extLst>
                <a:ext uri="{63B3BB69-23CF-44E3-9099-C40C66FF867C}">
                  <a14:compatExt spid="_x0000_s7112"/>
                </a:ext>
                <a:ext uri="{FF2B5EF4-FFF2-40B4-BE49-F238E27FC236}">
                  <a16:creationId xmlns:a16="http://schemas.microsoft.com/office/drawing/2014/main" id="{00000000-0008-0000-0400-0000C8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113" name="Check Box 969" hidden="1">
              <a:extLst>
                <a:ext uri="{63B3BB69-23CF-44E3-9099-C40C66FF867C}">
                  <a14:compatExt spid="_x0000_s7113"/>
                </a:ext>
                <a:ext uri="{FF2B5EF4-FFF2-40B4-BE49-F238E27FC236}">
                  <a16:creationId xmlns:a16="http://schemas.microsoft.com/office/drawing/2014/main" id="{00000000-0008-0000-0400-0000C9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114" name="Check Box 970" hidden="1">
              <a:extLst>
                <a:ext uri="{63B3BB69-23CF-44E3-9099-C40C66FF867C}">
                  <a14:compatExt spid="_x0000_s7114"/>
                </a:ext>
                <a:ext uri="{FF2B5EF4-FFF2-40B4-BE49-F238E27FC236}">
                  <a16:creationId xmlns:a16="http://schemas.microsoft.com/office/drawing/2014/main" id="{00000000-0008-0000-0400-0000CA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115" name="Check Box 971" hidden="1">
              <a:extLst>
                <a:ext uri="{63B3BB69-23CF-44E3-9099-C40C66FF867C}">
                  <a14:compatExt spid="_x0000_s7115"/>
                </a:ext>
                <a:ext uri="{FF2B5EF4-FFF2-40B4-BE49-F238E27FC236}">
                  <a16:creationId xmlns:a16="http://schemas.microsoft.com/office/drawing/2014/main" id="{00000000-0008-0000-0400-0000CB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116" name="Check Box 972" hidden="1">
              <a:extLst>
                <a:ext uri="{63B3BB69-23CF-44E3-9099-C40C66FF867C}">
                  <a14:compatExt spid="_x0000_s7116"/>
                </a:ext>
                <a:ext uri="{FF2B5EF4-FFF2-40B4-BE49-F238E27FC236}">
                  <a16:creationId xmlns:a16="http://schemas.microsoft.com/office/drawing/2014/main" id="{00000000-0008-0000-0400-0000CC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117" name="Check Box 973" hidden="1">
              <a:extLst>
                <a:ext uri="{63B3BB69-23CF-44E3-9099-C40C66FF867C}">
                  <a14:compatExt spid="_x0000_s7117"/>
                </a:ext>
                <a:ext uri="{FF2B5EF4-FFF2-40B4-BE49-F238E27FC236}">
                  <a16:creationId xmlns:a16="http://schemas.microsoft.com/office/drawing/2014/main" id="{00000000-0008-0000-0400-0000CD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118" name="Check Box 974" hidden="1">
              <a:extLst>
                <a:ext uri="{63B3BB69-23CF-44E3-9099-C40C66FF867C}">
                  <a14:compatExt spid="_x0000_s7118"/>
                </a:ext>
                <a:ext uri="{FF2B5EF4-FFF2-40B4-BE49-F238E27FC236}">
                  <a16:creationId xmlns:a16="http://schemas.microsoft.com/office/drawing/2014/main" id="{00000000-0008-0000-0400-0000CE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119" name="Check Box 975" hidden="1">
              <a:extLst>
                <a:ext uri="{63B3BB69-23CF-44E3-9099-C40C66FF867C}">
                  <a14:compatExt spid="_x0000_s7119"/>
                </a:ext>
                <a:ext uri="{FF2B5EF4-FFF2-40B4-BE49-F238E27FC236}">
                  <a16:creationId xmlns:a16="http://schemas.microsoft.com/office/drawing/2014/main" id="{00000000-0008-0000-0400-0000CF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120" name="Check Box 976" hidden="1">
              <a:extLst>
                <a:ext uri="{63B3BB69-23CF-44E3-9099-C40C66FF867C}">
                  <a14:compatExt spid="_x0000_s7120"/>
                </a:ext>
                <a:ext uri="{FF2B5EF4-FFF2-40B4-BE49-F238E27FC236}">
                  <a16:creationId xmlns:a16="http://schemas.microsoft.com/office/drawing/2014/main" id="{00000000-0008-0000-0400-0000D0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121" name="Check Box 977" hidden="1">
              <a:extLst>
                <a:ext uri="{63B3BB69-23CF-44E3-9099-C40C66FF867C}">
                  <a14:compatExt spid="_x0000_s7121"/>
                </a:ext>
                <a:ext uri="{FF2B5EF4-FFF2-40B4-BE49-F238E27FC236}">
                  <a16:creationId xmlns:a16="http://schemas.microsoft.com/office/drawing/2014/main" id="{00000000-0008-0000-0400-0000D1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122" name="Check Box 978" hidden="1">
              <a:extLst>
                <a:ext uri="{63B3BB69-23CF-44E3-9099-C40C66FF867C}">
                  <a14:compatExt spid="_x0000_s7122"/>
                </a:ext>
                <a:ext uri="{FF2B5EF4-FFF2-40B4-BE49-F238E27FC236}">
                  <a16:creationId xmlns:a16="http://schemas.microsoft.com/office/drawing/2014/main" id="{00000000-0008-0000-0400-0000D2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123" name="Check Box 979" hidden="1">
              <a:extLst>
                <a:ext uri="{63B3BB69-23CF-44E3-9099-C40C66FF867C}">
                  <a14:compatExt spid="_x0000_s7123"/>
                </a:ext>
                <a:ext uri="{FF2B5EF4-FFF2-40B4-BE49-F238E27FC236}">
                  <a16:creationId xmlns:a16="http://schemas.microsoft.com/office/drawing/2014/main" id="{00000000-0008-0000-0400-0000D3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124" name="Check Box 980" hidden="1">
              <a:extLst>
                <a:ext uri="{63B3BB69-23CF-44E3-9099-C40C66FF867C}">
                  <a14:compatExt spid="_x0000_s7124"/>
                </a:ext>
                <a:ext uri="{FF2B5EF4-FFF2-40B4-BE49-F238E27FC236}">
                  <a16:creationId xmlns:a16="http://schemas.microsoft.com/office/drawing/2014/main" id="{00000000-0008-0000-0400-0000D4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125" name="Check Box 981" hidden="1">
              <a:extLst>
                <a:ext uri="{63B3BB69-23CF-44E3-9099-C40C66FF867C}">
                  <a14:compatExt spid="_x0000_s7125"/>
                </a:ext>
                <a:ext uri="{FF2B5EF4-FFF2-40B4-BE49-F238E27FC236}">
                  <a16:creationId xmlns:a16="http://schemas.microsoft.com/office/drawing/2014/main" id="{00000000-0008-0000-0400-0000D5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126" name="Check Box 982" hidden="1">
              <a:extLst>
                <a:ext uri="{63B3BB69-23CF-44E3-9099-C40C66FF867C}">
                  <a14:compatExt spid="_x0000_s7126"/>
                </a:ext>
                <a:ext uri="{FF2B5EF4-FFF2-40B4-BE49-F238E27FC236}">
                  <a16:creationId xmlns:a16="http://schemas.microsoft.com/office/drawing/2014/main" id="{00000000-0008-0000-0400-0000D6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127" name="Check Box 983" hidden="1">
              <a:extLst>
                <a:ext uri="{63B3BB69-23CF-44E3-9099-C40C66FF867C}">
                  <a14:compatExt spid="_x0000_s7127"/>
                </a:ext>
                <a:ext uri="{FF2B5EF4-FFF2-40B4-BE49-F238E27FC236}">
                  <a16:creationId xmlns:a16="http://schemas.microsoft.com/office/drawing/2014/main" id="{00000000-0008-0000-0400-0000D7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128" name="Check Box 984" hidden="1">
              <a:extLst>
                <a:ext uri="{63B3BB69-23CF-44E3-9099-C40C66FF867C}">
                  <a14:compatExt spid="_x0000_s7128"/>
                </a:ext>
                <a:ext uri="{FF2B5EF4-FFF2-40B4-BE49-F238E27FC236}">
                  <a16:creationId xmlns:a16="http://schemas.microsoft.com/office/drawing/2014/main" id="{00000000-0008-0000-0400-0000D8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129" name="Check Box 985" hidden="1">
              <a:extLst>
                <a:ext uri="{63B3BB69-23CF-44E3-9099-C40C66FF867C}">
                  <a14:compatExt spid="_x0000_s7129"/>
                </a:ext>
                <a:ext uri="{FF2B5EF4-FFF2-40B4-BE49-F238E27FC236}">
                  <a16:creationId xmlns:a16="http://schemas.microsoft.com/office/drawing/2014/main" id="{00000000-0008-0000-0400-0000D9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130" name="Check Box 986" hidden="1">
              <a:extLst>
                <a:ext uri="{63B3BB69-23CF-44E3-9099-C40C66FF867C}">
                  <a14:compatExt spid="_x0000_s7130"/>
                </a:ext>
                <a:ext uri="{FF2B5EF4-FFF2-40B4-BE49-F238E27FC236}">
                  <a16:creationId xmlns:a16="http://schemas.microsoft.com/office/drawing/2014/main" id="{00000000-0008-0000-0400-0000DA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131" name="Check Box 987" hidden="1">
              <a:extLst>
                <a:ext uri="{63B3BB69-23CF-44E3-9099-C40C66FF867C}">
                  <a14:compatExt spid="_x0000_s7131"/>
                </a:ext>
                <a:ext uri="{FF2B5EF4-FFF2-40B4-BE49-F238E27FC236}">
                  <a16:creationId xmlns:a16="http://schemas.microsoft.com/office/drawing/2014/main" id="{00000000-0008-0000-0400-0000DB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132" name="Check Box 988" hidden="1">
              <a:extLst>
                <a:ext uri="{63B3BB69-23CF-44E3-9099-C40C66FF867C}">
                  <a14:compatExt spid="_x0000_s7132"/>
                </a:ext>
                <a:ext uri="{FF2B5EF4-FFF2-40B4-BE49-F238E27FC236}">
                  <a16:creationId xmlns:a16="http://schemas.microsoft.com/office/drawing/2014/main" id="{00000000-0008-0000-0400-0000DC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133" name="Check Box 989" hidden="1">
              <a:extLst>
                <a:ext uri="{63B3BB69-23CF-44E3-9099-C40C66FF867C}">
                  <a14:compatExt spid="_x0000_s7133"/>
                </a:ext>
                <a:ext uri="{FF2B5EF4-FFF2-40B4-BE49-F238E27FC236}">
                  <a16:creationId xmlns:a16="http://schemas.microsoft.com/office/drawing/2014/main" id="{00000000-0008-0000-0400-0000DD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134" name="Check Box 990" hidden="1">
              <a:extLst>
                <a:ext uri="{63B3BB69-23CF-44E3-9099-C40C66FF867C}">
                  <a14:compatExt spid="_x0000_s7134"/>
                </a:ext>
                <a:ext uri="{FF2B5EF4-FFF2-40B4-BE49-F238E27FC236}">
                  <a16:creationId xmlns:a16="http://schemas.microsoft.com/office/drawing/2014/main" id="{00000000-0008-0000-0400-0000DE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135" name="Check Box 991" hidden="1">
              <a:extLst>
                <a:ext uri="{63B3BB69-23CF-44E3-9099-C40C66FF867C}">
                  <a14:compatExt spid="_x0000_s7135"/>
                </a:ext>
                <a:ext uri="{FF2B5EF4-FFF2-40B4-BE49-F238E27FC236}">
                  <a16:creationId xmlns:a16="http://schemas.microsoft.com/office/drawing/2014/main" id="{00000000-0008-0000-0400-0000DF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136" name="Check Box 992" hidden="1">
              <a:extLst>
                <a:ext uri="{63B3BB69-23CF-44E3-9099-C40C66FF867C}">
                  <a14:compatExt spid="_x0000_s7136"/>
                </a:ext>
                <a:ext uri="{FF2B5EF4-FFF2-40B4-BE49-F238E27FC236}">
                  <a16:creationId xmlns:a16="http://schemas.microsoft.com/office/drawing/2014/main" id="{00000000-0008-0000-0400-0000E0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137" name="Check Box 993" hidden="1">
              <a:extLst>
                <a:ext uri="{63B3BB69-23CF-44E3-9099-C40C66FF867C}">
                  <a14:compatExt spid="_x0000_s7137"/>
                </a:ext>
                <a:ext uri="{FF2B5EF4-FFF2-40B4-BE49-F238E27FC236}">
                  <a16:creationId xmlns:a16="http://schemas.microsoft.com/office/drawing/2014/main" id="{00000000-0008-0000-0400-0000E1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138" name="Check Box 994" hidden="1">
              <a:extLst>
                <a:ext uri="{63B3BB69-23CF-44E3-9099-C40C66FF867C}">
                  <a14:compatExt spid="_x0000_s7138"/>
                </a:ext>
                <a:ext uri="{FF2B5EF4-FFF2-40B4-BE49-F238E27FC236}">
                  <a16:creationId xmlns:a16="http://schemas.microsoft.com/office/drawing/2014/main" id="{00000000-0008-0000-0400-0000E2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139" name="Check Box 995" hidden="1">
              <a:extLst>
                <a:ext uri="{63B3BB69-23CF-44E3-9099-C40C66FF867C}">
                  <a14:compatExt spid="_x0000_s7139"/>
                </a:ext>
                <a:ext uri="{FF2B5EF4-FFF2-40B4-BE49-F238E27FC236}">
                  <a16:creationId xmlns:a16="http://schemas.microsoft.com/office/drawing/2014/main" id="{00000000-0008-0000-0400-0000E3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140" name="Check Box 996" hidden="1">
              <a:extLst>
                <a:ext uri="{63B3BB69-23CF-44E3-9099-C40C66FF867C}">
                  <a14:compatExt spid="_x0000_s7140"/>
                </a:ext>
                <a:ext uri="{FF2B5EF4-FFF2-40B4-BE49-F238E27FC236}">
                  <a16:creationId xmlns:a16="http://schemas.microsoft.com/office/drawing/2014/main" id="{00000000-0008-0000-0400-0000E4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141" name="Check Box 997" hidden="1">
              <a:extLst>
                <a:ext uri="{63B3BB69-23CF-44E3-9099-C40C66FF867C}">
                  <a14:compatExt spid="_x0000_s7141"/>
                </a:ext>
                <a:ext uri="{FF2B5EF4-FFF2-40B4-BE49-F238E27FC236}">
                  <a16:creationId xmlns:a16="http://schemas.microsoft.com/office/drawing/2014/main" id="{00000000-0008-0000-0400-0000E5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142" name="Check Box 998" hidden="1">
              <a:extLst>
                <a:ext uri="{63B3BB69-23CF-44E3-9099-C40C66FF867C}">
                  <a14:compatExt spid="_x0000_s7142"/>
                </a:ext>
                <a:ext uri="{FF2B5EF4-FFF2-40B4-BE49-F238E27FC236}">
                  <a16:creationId xmlns:a16="http://schemas.microsoft.com/office/drawing/2014/main" id="{00000000-0008-0000-0400-0000E6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143" name="Check Box 999" hidden="1">
              <a:extLst>
                <a:ext uri="{63B3BB69-23CF-44E3-9099-C40C66FF867C}">
                  <a14:compatExt spid="_x0000_s7143"/>
                </a:ext>
                <a:ext uri="{FF2B5EF4-FFF2-40B4-BE49-F238E27FC236}">
                  <a16:creationId xmlns:a16="http://schemas.microsoft.com/office/drawing/2014/main" id="{00000000-0008-0000-0400-0000E7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144" name="Check Box 1000" hidden="1">
              <a:extLst>
                <a:ext uri="{63B3BB69-23CF-44E3-9099-C40C66FF867C}">
                  <a14:compatExt spid="_x0000_s7144"/>
                </a:ext>
                <a:ext uri="{FF2B5EF4-FFF2-40B4-BE49-F238E27FC236}">
                  <a16:creationId xmlns:a16="http://schemas.microsoft.com/office/drawing/2014/main" id="{00000000-0008-0000-0400-0000E8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145" name="Check Box 1001" hidden="1">
              <a:extLst>
                <a:ext uri="{63B3BB69-23CF-44E3-9099-C40C66FF867C}">
                  <a14:compatExt spid="_x0000_s7145"/>
                </a:ext>
                <a:ext uri="{FF2B5EF4-FFF2-40B4-BE49-F238E27FC236}">
                  <a16:creationId xmlns:a16="http://schemas.microsoft.com/office/drawing/2014/main" id="{00000000-0008-0000-0400-0000E9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146" name="Check Box 1002" hidden="1">
              <a:extLst>
                <a:ext uri="{63B3BB69-23CF-44E3-9099-C40C66FF867C}">
                  <a14:compatExt spid="_x0000_s7146"/>
                </a:ext>
                <a:ext uri="{FF2B5EF4-FFF2-40B4-BE49-F238E27FC236}">
                  <a16:creationId xmlns:a16="http://schemas.microsoft.com/office/drawing/2014/main" id="{00000000-0008-0000-0400-0000EA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147" name="Check Box 1003" hidden="1">
              <a:extLst>
                <a:ext uri="{63B3BB69-23CF-44E3-9099-C40C66FF867C}">
                  <a14:compatExt spid="_x0000_s7147"/>
                </a:ext>
                <a:ext uri="{FF2B5EF4-FFF2-40B4-BE49-F238E27FC236}">
                  <a16:creationId xmlns:a16="http://schemas.microsoft.com/office/drawing/2014/main" id="{00000000-0008-0000-0400-0000EB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148" name="Check Box 1004" hidden="1">
              <a:extLst>
                <a:ext uri="{63B3BB69-23CF-44E3-9099-C40C66FF867C}">
                  <a14:compatExt spid="_x0000_s7148"/>
                </a:ext>
                <a:ext uri="{FF2B5EF4-FFF2-40B4-BE49-F238E27FC236}">
                  <a16:creationId xmlns:a16="http://schemas.microsoft.com/office/drawing/2014/main" id="{00000000-0008-0000-0400-0000EC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149" name="Check Box 1005" hidden="1">
              <a:extLst>
                <a:ext uri="{63B3BB69-23CF-44E3-9099-C40C66FF867C}">
                  <a14:compatExt spid="_x0000_s7149"/>
                </a:ext>
                <a:ext uri="{FF2B5EF4-FFF2-40B4-BE49-F238E27FC236}">
                  <a16:creationId xmlns:a16="http://schemas.microsoft.com/office/drawing/2014/main" id="{00000000-0008-0000-0400-0000ED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150" name="Check Box 1006" hidden="1">
              <a:extLst>
                <a:ext uri="{63B3BB69-23CF-44E3-9099-C40C66FF867C}">
                  <a14:compatExt spid="_x0000_s7150"/>
                </a:ext>
                <a:ext uri="{FF2B5EF4-FFF2-40B4-BE49-F238E27FC236}">
                  <a16:creationId xmlns:a16="http://schemas.microsoft.com/office/drawing/2014/main" id="{00000000-0008-0000-0400-0000EE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151" name="Check Box 1007" hidden="1">
              <a:extLst>
                <a:ext uri="{63B3BB69-23CF-44E3-9099-C40C66FF867C}">
                  <a14:compatExt spid="_x0000_s7151"/>
                </a:ext>
                <a:ext uri="{FF2B5EF4-FFF2-40B4-BE49-F238E27FC236}">
                  <a16:creationId xmlns:a16="http://schemas.microsoft.com/office/drawing/2014/main" id="{00000000-0008-0000-0400-0000EF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152" name="Check Box 1008" hidden="1">
              <a:extLst>
                <a:ext uri="{63B3BB69-23CF-44E3-9099-C40C66FF867C}">
                  <a14:compatExt spid="_x0000_s7152"/>
                </a:ext>
                <a:ext uri="{FF2B5EF4-FFF2-40B4-BE49-F238E27FC236}">
                  <a16:creationId xmlns:a16="http://schemas.microsoft.com/office/drawing/2014/main" id="{00000000-0008-0000-0400-0000F0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153" name="Check Box 1009" hidden="1">
              <a:extLst>
                <a:ext uri="{63B3BB69-23CF-44E3-9099-C40C66FF867C}">
                  <a14:compatExt spid="_x0000_s7153"/>
                </a:ext>
                <a:ext uri="{FF2B5EF4-FFF2-40B4-BE49-F238E27FC236}">
                  <a16:creationId xmlns:a16="http://schemas.microsoft.com/office/drawing/2014/main" id="{00000000-0008-0000-0400-0000F1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154" name="Check Box 1010" hidden="1">
              <a:extLst>
                <a:ext uri="{63B3BB69-23CF-44E3-9099-C40C66FF867C}">
                  <a14:compatExt spid="_x0000_s7154"/>
                </a:ext>
                <a:ext uri="{FF2B5EF4-FFF2-40B4-BE49-F238E27FC236}">
                  <a16:creationId xmlns:a16="http://schemas.microsoft.com/office/drawing/2014/main" id="{00000000-0008-0000-0400-0000F2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155" name="Check Box 1011" hidden="1">
              <a:extLst>
                <a:ext uri="{63B3BB69-23CF-44E3-9099-C40C66FF867C}">
                  <a14:compatExt spid="_x0000_s7155"/>
                </a:ext>
                <a:ext uri="{FF2B5EF4-FFF2-40B4-BE49-F238E27FC236}">
                  <a16:creationId xmlns:a16="http://schemas.microsoft.com/office/drawing/2014/main" id="{00000000-0008-0000-0400-0000F3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156" name="Check Box 1012" hidden="1">
              <a:extLst>
                <a:ext uri="{63B3BB69-23CF-44E3-9099-C40C66FF867C}">
                  <a14:compatExt spid="_x0000_s7156"/>
                </a:ext>
                <a:ext uri="{FF2B5EF4-FFF2-40B4-BE49-F238E27FC236}">
                  <a16:creationId xmlns:a16="http://schemas.microsoft.com/office/drawing/2014/main" id="{00000000-0008-0000-0400-0000F4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157" name="Check Box 1013" hidden="1">
              <a:extLst>
                <a:ext uri="{63B3BB69-23CF-44E3-9099-C40C66FF867C}">
                  <a14:compatExt spid="_x0000_s7157"/>
                </a:ext>
                <a:ext uri="{FF2B5EF4-FFF2-40B4-BE49-F238E27FC236}">
                  <a16:creationId xmlns:a16="http://schemas.microsoft.com/office/drawing/2014/main" id="{00000000-0008-0000-0400-0000F5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158" name="Check Box 1014" hidden="1">
              <a:extLst>
                <a:ext uri="{63B3BB69-23CF-44E3-9099-C40C66FF867C}">
                  <a14:compatExt spid="_x0000_s7158"/>
                </a:ext>
                <a:ext uri="{FF2B5EF4-FFF2-40B4-BE49-F238E27FC236}">
                  <a16:creationId xmlns:a16="http://schemas.microsoft.com/office/drawing/2014/main" id="{00000000-0008-0000-0400-0000F6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159" name="Check Box 1015" hidden="1">
              <a:extLst>
                <a:ext uri="{63B3BB69-23CF-44E3-9099-C40C66FF867C}">
                  <a14:compatExt spid="_x0000_s7159"/>
                </a:ext>
                <a:ext uri="{FF2B5EF4-FFF2-40B4-BE49-F238E27FC236}">
                  <a16:creationId xmlns:a16="http://schemas.microsoft.com/office/drawing/2014/main" id="{00000000-0008-0000-0400-0000F7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160" name="Check Box 1016" hidden="1">
              <a:extLst>
                <a:ext uri="{63B3BB69-23CF-44E3-9099-C40C66FF867C}">
                  <a14:compatExt spid="_x0000_s7160"/>
                </a:ext>
                <a:ext uri="{FF2B5EF4-FFF2-40B4-BE49-F238E27FC236}">
                  <a16:creationId xmlns:a16="http://schemas.microsoft.com/office/drawing/2014/main" id="{00000000-0008-0000-0400-0000F8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161" name="Check Box 1017" hidden="1">
              <a:extLst>
                <a:ext uri="{63B3BB69-23CF-44E3-9099-C40C66FF867C}">
                  <a14:compatExt spid="_x0000_s7161"/>
                </a:ext>
                <a:ext uri="{FF2B5EF4-FFF2-40B4-BE49-F238E27FC236}">
                  <a16:creationId xmlns:a16="http://schemas.microsoft.com/office/drawing/2014/main" id="{00000000-0008-0000-0400-0000F9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162" name="Check Box 1018" hidden="1">
              <a:extLst>
                <a:ext uri="{63B3BB69-23CF-44E3-9099-C40C66FF867C}">
                  <a14:compatExt spid="_x0000_s7162"/>
                </a:ext>
                <a:ext uri="{FF2B5EF4-FFF2-40B4-BE49-F238E27FC236}">
                  <a16:creationId xmlns:a16="http://schemas.microsoft.com/office/drawing/2014/main" id="{00000000-0008-0000-0400-0000FA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163" name="Check Box 1019" hidden="1">
              <a:extLst>
                <a:ext uri="{63B3BB69-23CF-44E3-9099-C40C66FF867C}">
                  <a14:compatExt spid="_x0000_s7163"/>
                </a:ext>
                <a:ext uri="{FF2B5EF4-FFF2-40B4-BE49-F238E27FC236}">
                  <a16:creationId xmlns:a16="http://schemas.microsoft.com/office/drawing/2014/main" id="{00000000-0008-0000-0400-0000FB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164" name="Check Box 1020" hidden="1">
              <a:extLst>
                <a:ext uri="{63B3BB69-23CF-44E3-9099-C40C66FF867C}">
                  <a14:compatExt spid="_x0000_s7164"/>
                </a:ext>
                <a:ext uri="{FF2B5EF4-FFF2-40B4-BE49-F238E27FC236}">
                  <a16:creationId xmlns:a16="http://schemas.microsoft.com/office/drawing/2014/main" id="{00000000-0008-0000-0400-0000FC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165" name="Check Box 1021" hidden="1">
              <a:extLst>
                <a:ext uri="{63B3BB69-23CF-44E3-9099-C40C66FF867C}">
                  <a14:compatExt spid="_x0000_s7165"/>
                </a:ext>
                <a:ext uri="{FF2B5EF4-FFF2-40B4-BE49-F238E27FC236}">
                  <a16:creationId xmlns:a16="http://schemas.microsoft.com/office/drawing/2014/main" id="{00000000-0008-0000-0400-0000FD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166" name="Check Box 1022" hidden="1">
              <a:extLst>
                <a:ext uri="{63B3BB69-23CF-44E3-9099-C40C66FF867C}">
                  <a14:compatExt spid="_x0000_s7166"/>
                </a:ext>
                <a:ext uri="{FF2B5EF4-FFF2-40B4-BE49-F238E27FC236}">
                  <a16:creationId xmlns:a16="http://schemas.microsoft.com/office/drawing/2014/main" id="{00000000-0008-0000-0400-0000FE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167" name="Check Box 1023" hidden="1">
              <a:extLst>
                <a:ext uri="{63B3BB69-23CF-44E3-9099-C40C66FF867C}">
                  <a14:compatExt spid="_x0000_s7167"/>
                </a:ext>
                <a:ext uri="{FF2B5EF4-FFF2-40B4-BE49-F238E27FC236}">
                  <a16:creationId xmlns:a16="http://schemas.microsoft.com/office/drawing/2014/main" id="{00000000-0008-0000-0400-0000FF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168" name="Check Box 1024" hidden="1">
              <a:extLst>
                <a:ext uri="{63B3BB69-23CF-44E3-9099-C40C66FF867C}">
                  <a14:compatExt spid="_x0000_s7168"/>
                </a:ext>
                <a:ext uri="{FF2B5EF4-FFF2-40B4-BE49-F238E27FC236}">
                  <a16:creationId xmlns:a16="http://schemas.microsoft.com/office/drawing/2014/main" id="{00000000-0008-0000-0400-00000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169" name="Check Box 1025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170" name="Check Box 1026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171" name="Check Box 1027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172" name="Check Box 1028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173" name="Check Box 1029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4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174" name="Check Box 1030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4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175" name="Check Box 1031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4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176" name="Check Box 1032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4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177" name="Check Box 1033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4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178" name="Check Box 1034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4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179" name="Check Box 1035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4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180" name="Check Box 1036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4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181" name="Check Box 1037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4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182" name="Check Box 1038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4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183" name="Check Box 1039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4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184" name="Check Box 1040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4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185" name="Check Box 1041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4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186" name="Check Box 1042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4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187" name="Check Box 1043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4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188" name="Check Box 1044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4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189" name="Check Box 1045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4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190" name="Check Box 1046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4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191" name="Check Box 1047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4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192" name="Check Box 1048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4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193" name="Check Box 1049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4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194" name="Check Box 1050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4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195" name="Check Box 1051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4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196" name="Check Box 1052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4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197" name="Check Box 1053" hidden="1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00000000-0008-0000-0400-00001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198" name="Check Box 1054" hidden="1">
              <a:extLst>
                <a:ext uri="{63B3BB69-23CF-44E3-9099-C40C66FF867C}">
                  <a14:compatExt spid="_x0000_s7198"/>
                </a:ext>
                <a:ext uri="{FF2B5EF4-FFF2-40B4-BE49-F238E27FC236}">
                  <a16:creationId xmlns:a16="http://schemas.microsoft.com/office/drawing/2014/main" id="{00000000-0008-0000-0400-00001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199" name="Check Box 1055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400-00001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200" name="Check Box 1056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00000000-0008-0000-0400-00002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201" name="Check Box 1057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400-00002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202" name="Check Box 1058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0000000-0008-0000-0400-00002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203" name="Check Box 1059" hidden="1">
              <a:extLst>
                <a:ext uri="{63B3BB69-23CF-44E3-9099-C40C66FF867C}">
                  <a14:compatExt spid="_x0000_s7203"/>
                </a:ext>
                <a:ext uri="{FF2B5EF4-FFF2-40B4-BE49-F238E27FC236}">
                  <a16:creationId xmlns:a16="http://schemas.microsoft.com/office/drawing/2014/main" id="{00000000-0008-0000-0400-00002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204" name="Check Box 1060" hidden="1">
              <a:extLst>
                <a:ext uri="{63B3BB69-23CF-44E3-9099-C40C66FF867C}">
                  <a14:compatExt spid="_x0000_s7204"/>
                </a:ext>
                <a:ext uri="{FF2B5EF4-FFF2-40B4-BE49-F238E27FC236}">
                  <a16:creationId xmlns:a16="http://schemas.microsoft.com/office/drawing/2014/main" id="{00000000-0008-0000-0400-00002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205" name="Check Box 1061" hidden="1">
              <a:extLst>
                <a:ext uri="{63B3BB69-23CF-44E3-9099-C40C66FF867C}">
                  <a14:compatExt spid="_x0000_s7205"/>
                </a:ext>
                <a:ext uri="{FF2B5EF4-FFF2-40B4-BE49-F238E27FC236}">
                  <a16:creationId xmlns:a16="http://schemas.microsoft.com/office/drawing/2014/main" id="{00000000-0008-0000-0400-00002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206" name="Check Box 1062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4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207" name="Check Box 1063" hidden="1">
              <a:extLst>
                <a:ext uri="{63B3BB69-23CF-44E3-9099-C40C66FF867C}">
                  <a14:compatExt spid="_x0000_s7207"/>
                </a:ext>
                <a:ext uri="{FF2B5EF4-FFF2-40B4-BE49-F238E27FC236}">
                  <a16:creationId xmlns:a16="http://schemas.microsoft.com/office/drawing/2014/main" id="{00000000-0008-0000-0400-00002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208" name="Check Box 1064" hidden="1">
              <a:extLst>
                <a:ext uri="{63B3BB69-23CF-44E3-9099-C40C66FF867C}">
                  <a14:compatExt spid="_x0000_s7208"/>
                </a:ext>
                <a:ext uri="{FF2B5EF4-FFF2-40B4-BE49-F238E27FC236}">
                  <a16:creationId xmlns:a16="http://schemas.microsoft.com/office/drawing/2014/main" id="{00000000-0008-0000-0400-00002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209" name="Check Box 1065" hidden="1">
              <a:extLst>
                <a:ext uri="{63B3BB69-23CF-44E3-9099-C40C66FF867C}">
                  <a14:compatExt spid="_x0000_s7209"/>
                </a:ext>
                <a:ext uri="{FF2B5EF4-FFF2-40B4-BE49-F238E27FC236}">
                  <a16:creationId xmlns:a16="http://schemas.microsoft.com/office/drawing/2014/main" id="{00000000-0008-0000-0400-00002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210" name="Check Box 1066" hidden="1">
              <a:extLst>
                <a:ext uri="{63B3BB69-23CF-44E3-9099-C40C66FF867C}">
                  <a14:compatExt spid="_x0000_s7210"/>
                </a:ext>
                <a:ext uri="{FF2B5EF4-FFF2-40B4-BE49-F238E27FC236}">
                  <a16:creationId xmlns:a16="http://schemas.microsoft.com/office/drawing/2014/main" id="{00000000-0008-0000-0400-00002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211" name="Check Box 1067" hidden="1">
              <a:extLst>
                <a:ext uri="{63B3BB69-23CF-44E3-9099-C40C66FF867C}">
                  <a14:compatExt spid="_x0000_s7211"/>
                </a:ext>
                <a:ext uri="{FF2B5EF4-FFF2-40B4-BE49-F238E27FC236}">
                  <a16:creationId xmlns:a16="http://schemas.microsoft.com/office/drawing/2014/main" id="{00000000-0008-0000-0400-00002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212" name="Check Box 1068" hidden="1">
              <a:extLst>
                <a:ext uri="{63B3BB69-23CF-44E3-9099-C40C66FF867C}">
                  <a14:compatExt spid="_x0000_s7212"/>
                </a:ext>
                <a:ext uri="{FF2B5EF4-FFF2-40B4-BE49-F238E27FC236}">
                  <a16:creationId xmlns:a16="http://schemas.microsoft.com/office/drawing/2014/main" id="{00000000-0008-0000-0400-00002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213" name="Check Box 1069" hidden="1">
              <a:extLst>
                <a:ext uri="{63B3BB69-23CF-44E3-9099-C40C66FF867C}">
                  <a14:compatExt spid="_x0000_s7213"/>
                </a:ext>
                <a:ext uri="{FF2B5EF4-FFF2-40B4-BE49-F238E27FC236}">
                  <a16:creationId xmlns:a16="http://schemas.microsoft.com/office/drawing/2014/main" id="{00000000-0008-0000-0400-00002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214" name="Check Box 1070" hidden="1">
              <a:extLst>
                <a:ext uri="{63B3BB69-23CF-44E3-9099-C40C66FF867C}">
                  <a14:compatExt spid="_x0000_s7214"/>
                </a:ext>
                <a:ext uri="{FF2B5EF4-FFF2-40B4-BE49-F238E27FC236}">
                  <a16:creationId xmlns:a16="http://schemas.microsoft.com/office/drawing/2014/main" id="{00000000-0008-0000-0400-00002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215" name="Check Box 1071" hidden="1">
              <a:extLst>
                <a:ext uri="{63B3BB69-23CF-44E3-9099-C40C66FF867C}">
                  <a14:compatExt spid="_x0000_s7215"/>
                </a:ext>
                <a:ext uri="{FF2B5EF4-FFF2-40B4-BE49-F238E27FC236}">
                  <a16:creationId xmlns:a16="http://schemas.microsoft.com/office/drawing/2014/main" id="{00000000-0008-0000-0400-00002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216" name="Check Box 1072" hidden="1">
              <a:extLst>
                <a:ext uri="{63B3BB69-23CF-44E3-9099-C40C66FF867C}">
                  <a14:compatExt spid="_x0000_s7216"/>
                </a:ext>
                <a:ext uri="{FF2B5EF4-FFF2-40B4-BE49-F238E27FC236}">
                  <a16:creationId xmlns:a16="http://schemas.microsoft.com/office/drawing/2014/main" id="{00000000-0008-0000-0400-00003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217" name="Check Box 1073" hidden="1">
              <a:extLst>
                <a:ext uri="{63B3BB69-23CF-44E3-9099-C40C66FF867C}">
                  <a14:compatExt spid="_x0000_s7217"/>
                </a:ext>
                <a:ext uri="{FF2B5EF4-FFF2-40B4-BE49-F238E27FC236}">
                  <a16:creationId xmlns:a16="http://schemas.microsoft.com/office/drawing/2014/main" id="{00000000-0008-0000-0400-00003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218" name="Check Box 1074" hidden="1">
              <a:extLst>
                <a:ext uri="{63B3BB69-23CF-44E3-9099-C40C66FF867C}">
                  <a14:compatExt spid="_x0000_s7218"/>
                </a:ext>
                <a:ext uri="{FF2B5EF4-FFF2-40B4-BE49-F238E27FC236}">
                  <a16:creationId xmlns:a16="http://schemas.microsoft.com/office/drawing/2014/main" id="{00000000-0008-0000-0400-00003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219" name="Check Box 1075" hidden="1">
              <a:extLst>
                <a:ext uri="{63B3BB69-23CF-44E3-9099-C40C66FF867C}">
                  <a14:compatExt spid="_x0000_s7219"/>
                </a:ext>
                <a:ext uri="{FF2B5EF4-FFF2-40B4-BE49-F238E27FC236}">
                  <a16:creationId xmlns:a16="http://schemas.microsoft.com/office/drawing/2014/main" id="{00000000-0008-0000-0400-00003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220" name="Check Box 1076" hidden="1">
              <a:extLst>
                <a:ext uri="{63B3BB69-23CF-44E3-9099-C40C66FF867C}">
                  <a14:compatExt spid="_x0000_s7220"/>
                </a:ext>
                <a:ext uri="{FF2B5EF4-FFF2-40B4-BE49-F238E27FC236}">
                  <a16:creationId xmlns:a16="http://schemas.microsoft.com/office/drawing/2014/main" id="{00000000-0008-0000-0400-00003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221" name="Check Box 1077" hidden="1">
              <a:extLst>
                <a:ext uri="{63B3BB69-23CF-44E3-9099-C40C66FF867C}">
                  <a14:compatExt spid="_x0000_s7221"/>
                </a:ext>
                <a:ext uri="{FF2B5EF4-FFF2-40B4-BE49-F238E27FC236}">
                  <a16:creationId xmlns:a16="http://schemas.microsoft.com/office/drawing/2014/main" id="{00000000-0008-0000-0400-00003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222" name="Check Box 1078" hidden="1">
              <a:extLst>
                <a:ext uri="{63B3BB69-23CF-44E3-9099-C40C66FF867C}">
                  <a14:compatExt spid="_x0000_s7222"/>
                </a:ext>
                <a:ext uri="{FF2B5EF4-FFF2-40B4-BE49-F238E27FC236}">
                  <a16:creationId xmlns:a16="http://schemas.microsoft.com/office/drawing/2014/main" id="{00000000-0008-0000-0400-00003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223" name="Check Box 1079" hidden="1">
              <a:extLst>
                <a:ext uri="{63B3BB69-23CF-44E3-9099-C40C66FF867C}">
                  <a14:compatExt spid="_x0000_s7223"/>
                </a:ext>
                <a:ext uri="{FF2B5EF4-FFF2-40B4-BE49-F238E27FC236}">
                  <a16:creationId xmlns:a16="http://schemas.microsoft.com/office/drawing/2014/main" id="{00000000-0008-0000-0400-00003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224" name="Check Box 1080" hidden="1">
              <a:extLst>
                <a:ext uri="{63B3BB69-23CF-44E3-9099-C40C66FF867C}">
                  <a14:compatExt spid="_x0000_s7224"/>
                </a:ext>
                <a:ext uri="{FF2B5EF4-FFF2-40B4-BE49-F238E27FC236}">
                  <a16:creationId xmlns:a16="http://schemas.microsoft.com/office/drawing/2014/main" id="{00000000-0008-0000-0400-00003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225" name="Check Box 1081" hidden="1">
              <a:extLst>
                <a:ext uri="{63B3BB69-23CF-44E3-9099-C40C66FF867C}">
                  <a14:compatExt spid="_x0000_s7225"/>
                </a:ext>
                <a:ext uri="{FF2B5EF4-FFF2-40B4-BE49-F238E27FC236}">
                  <a16:creationId xmlns:a16="http://schemas.microsoft.com/office/drawing/2014/main" id="{00000000-0008-0000-0400-00003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226" name="Check Box 1082" hidden="1">
              <a:extLst>
                <a:ext uri="{63B3BB69-23CF-44E3-9099-C40C66FF867C}">
                  <a14:compatExt spid="_x0000_s7226"/>
                </a:ext>
                <a:ext uri="{FF2B5EF4-FFF2-40B4-BE49-F238E27FC236}">
                  <a16:creationId xmlns:a16="http://schemas.microsoft.com/office/drawing/2014/main" id="{00000000-0008-0000-0400-00003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227" name="Check Box 1083" hidden="1">
              <a:extLst>
                <a:ext uri="{63B3BB69-23CF-44E3-9099-C40C66FF867C}">
                  <a14:compatExt spid="_x0000_s7227"/>
                </a:ext>
                <a:ext uri="{FF2B5EF4-FFF2-40B4-BE49-F238E27FC236}">
                  <a16:creationId xmlns:a16="http://schemas.microsoft.com/office/drawing/2014/main" id="{00000000-0008-0000-0400-00003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228" name="Check Box 1084" hidden="1">
              <a:extLst>
                <a:ext uri="{63B3BB69-23CF-44E3-9099-C40C66FF867C}">
                  <a14:compatExt spid="_x0000_s7228"/>
                </a:ext>
                <a:ext uri="{FF2B5EF4-FFF2-40B4-BE49-F238E27FC236}">
                  <a16:creationId xmlns:a16="http://schemas.microsoft.com/office/drawing/2014/main" id="{00000000-0008-0000-0400-00003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229" name="Check Box 1085" hidden="1">
              <a:extLst>
                <a:ext uri="{63B3BB69-23CF-44E3-9099-C40C66FF867C}">
                  <a14:compatExt spid="_x0000_s7229"/>
                </a:ext>
                <a:ext uri="{FF2B5EF4-FFF2-40B4-BE49-F238E27FC236}">
                  <a16:creationId xmlns:a16="http://schemas.microsoft.com/office/drawing/2014/main" id="{00000000-0008-0000-0400-00003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230" name="Check Box 1086" hidden="1">
              <a:extLst>
                <a:ext uri="{63B3BB69-23CF-44E3-9099-C40C66FF867C}">
                  <a14:compatExt spid="_x0000_s7230"/>
                </a:ext>
                <a:ext uri="{FF2B5EF4-FFF2-40B4-BE49-F238E27FC236}">
                  <a16:creationId xmlns:a16="http://schemas.microsoft.com/office/drawing/2014/main" id="{00000000-0008-0000-0400-00003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231" name="Check Box 1087" hidden="1">
              <a:extLst>
                <a:ext uri="{63B3BB69-23CF-44E3-9099-C40C66FF867C}">
                  <a14:compatExt spid="_x0000_s7231"/>
                </a:ext>
                <a:ext uri="{FF2B5EF4-FFF2-40B4-BE49-F238E27FC236}">
                  <a16:creationId xmlns:a16="http://schemas.microsoft.com/office/drawing/2014/main" id="{00000000-0008-0000-0400-00003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232" name="Check Box 1088" hidden="1">
              <a:extLst>
                <a:ext uri="{63B3BB69-23CF-44E3-9099-C40C66FF867C}">
                  <a14:compatExt spid="_x0000_s7232"/>
                </a:ext>
                <a:ext uri="{FF2B5EF4-FFF2-40B4-BE49-F238E27FC236}">
                  <a16:creationId xmlns:a16="http://schemas.microsoft.com/office/drawing/2014/main" id="{00000000-0008-0000-0400-00004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233" name="Check Box 1089" hidden="1">
              <a:extLst>
                <a:ext uri="{63B3BB69-23CF-44E3-9099-C40C66FF867C}">
                  <a14:compatExt spid="_x0000_s7233"/>
                </a:ext>
                <a:ext uri="{FF2B5EF4-FFF2-40B4-BE49-F238E27FC236}">
                  <a16:creationId xmlns:a16="http://schemas.microsoft.com/office/drawing/2014/main" id="{00000000-0008-0000-0400-00004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234" name="Check Box 1090" hidden="1">
              <a:extLst>
                <a:ext uri="{63B3BB69-23CF-44E3-9099-C40C66FF867C}">
                  <a14:compatExt spid="_x0000_s7234"/>
                </a:ext>
                <a:ext uri="{FF2B5EF4-FFF2-40B4-BE49-F238E27FC236}">
                  <a16:creationId xmlns:a16="http://schemas.microsoft.com/office/drawing/2014/main" id="{00000000-0008-0000-0400-00004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235" name="Check Box 1091" hidden="1">
              <a:extLst>
                <a:ext uri="{63B3BB69-23CF-44E3-9099-C40C66FF867C}">
                  <a14:compatExt spid="_x0000_s7235"/>
                </a:ext>
                <a:ext uri="{FF2B5EF4-FFF2-40B4-BE49-F238E27FC236}">
                  <a16:creationId xmlns:a16="http://schemas.microsoft.com/office/drawing/2014/main" id="{00000000-0008-0000-0400-00004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236" name="Check Box 1092" hidden="1">
              <a:extLst>
                <a:ext uri="{63B3BB69-23CF-44E3-9099-C40C66FF867C}">
                  <a14:compatExt spid="_x0000_s7236"/>
                </a:ext>
                <a:ext uri="{FF2B5EF4-FFF2-40B4-BE49-F238E27FC236}">
                  <a16:creationId xmlns:a16="http://schemas.microsoft.com/office/drawing/2014/main" id="{00000000-0008-0000-0400-00004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237" name="Check Box 1093" hidden="1">
              <a:extLst>
                <a:ext uri="{63B3BB69-23CF-44E3-9099-C40C66FF867C}">
                  <a14:compatExt spid="_x0000_s7237"/>
                </a:ext>
                <a:ext uri="{FF2B5EF4-FFF2-40B4-BE49-F238E27FC236}">
                  <a16:creationId xmlns:a16="http://schemas.microsoft.com/office/drawing/2014/main" id="{00000000-0008-0000-0400-00004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238" name="Check Box 1094" hidden="1">
              <a:extLst>
                <a:ext uri="{63B3BB69-23CF-44E3-9099-C40C66FF867C}">
                  <a14:compatExt spid="_x0000_s7238"/>
                </a:ext>
                <a:ext uri="{FF2B5EF4-FFF2-40B4-BE49-F238E27FC236}">
                  <a16:creationId xmlns:a16="http://schemas.microsoft.com/office/drawing/2014/main" id="{00000000-0008-0000-0400-00004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239" name="Check Box 1095" hidden="1">
              <a:extLst>
                <a:ext uri="{63B3BB69-23CF-44E3-9099-C40C66FF867C}">
                  <a14:compatExt spid="_x0000_s7239"/>
                </a:ext>
                <a:ext uri="{FF2B5EF4-FFF2-40B4-BE49-F238E27FC236}">
                  <a16:creationId xmlns:a16="http://schemas.microsoft.com/office/drawing/2014/main" id="{00000000-0008-0000-0400-00004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240" name="Check Box 1096" hidden="1">
              <a:extLst>
                <a:ext uri="{63B3BB69-23CF-44E3-9099-C40C66FF867C}">
                  <a14:compatExt spid="_x0000_s7240"/>
                </a:ext>
                <a:ext uri="{FF2B5EF4-FFF2-40B4-BE49-F238E27FC236}">
                  <a16:creationId xmlns:a16="http://schemas.microsoft.com/office/drawing/2014/main" id="{00000000-0008-0000-0400-00004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241" name="Check Box 1097" hidden="1">
              <a:extLst>
                <a:ext uri="{63B3BB69-23CF-44E3-9099-C40C66FF867C}">
                  <a14:compatExt spid="_x0000_s7241"/>
                </a:ext>
                <a:ext uri="{FF2B5EF4-FFF2-40B4-BE49-F238E27FC236}">
                  <a16:creationId xmlns:a16="http://schemas.microsoft.com/office/drawing/2014/main" id="{00000000-0008-0000-0400-00004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242" name="Check Box 1098" hidden="1">
              <a:extLst>
                <a:ext uri="{63B3BB69-23CF-44E3-9099-C40C66FF867C}">
                  <a14:compatExt spid="_x0000_s7242"/>
                </a:ext>
                <a:ext uri="{FF2B5EF4-FFF2-40B4-BE49-F238E27FC236}">
                  <a16:creationId xmlns:a16="http://schemas.microsoft.com/office/drawing/2014/main" id="{00000000-0008-0000-0400-00004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243" name="Check Box 1099" hidden="1">
              <a:extLst>
                <a:ext uri="{63B3BB69-23CF-44E3-9099-C40C66FF867C}">
                  <a14:compatExt spid="_x0000_s7243"/>
                </a:ext>
                <a:ext uri="{FF2B5EF4-FFF2-40B4-BE49-F238E27FC236}">
                  <a16:creationId xmlns:a16="http://schemas.microsoft.com/office/drawing/2014/main" id="{00000000-0008-0000-0400-00004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244" name="Check Box 1100" hidden="1">
              <a:extLst>
                <a:ext uri="{63B3BB69-23CF-44E3-9099-C40C66FF867C}">
                  <a14:compatExt spid="_x0000_s7244"/>
                </a:ext>
                <a:ext uri="{FF2B5EF4-FFF2-40B4-BE49-F238E27FC236}">
                  <a16:creationId xmlns:a16="http://schemas.microsoft.com/office/drawing/2014/main" id="{00000000-0008-0000-0400-00004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245" name="Check Box 1101" hidden="1">
              <a:extLst>
                <a:ext uri="{63B3BB69-23CF-44E3-9099-C40C66FF867C}">
                  <a14:compatExt spid="_x0000_s7245"/>
                </a:ext>
                <a:ext uri="{FF2B5EF4-FFF2-40B4-BE49-F238E27FC236}">
                  <a16:creationId xmlns:a16="http://schemas.microsoft.com/office/drawing/2014/main" id="{00000000-0008-0000-0400-00004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246" name="Check Box 1102" hidden="1">
              <a:extLst>
                <a:ext uri="{63B3BB69-23CF-44E3-9099-C40C66FF867C}">
                  <a14:compatExt spid="_x0000_s7246"/>
                </a:ext>
                <a:ext uri="{FF2B5EF4-FFF2-40B4-BE49-F238E27FC236}">
                  <a16:creationId xmlns:a16="http://schemas.microsoft.com/office/drawing/2014/main" id="{00000000-0008-0000-0400-00004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247" name="Check Box 1103" hidden="1">
              <a:extLst>
                <a:ext uri="{63B3BB69-23CF-44E3-9099-C40C66FF867C}">
                  <a14:compatExt spid="_x0000_s7247"/>
                </a:ext>
                <a:ext uri="{FF2B5EF4-FFF2-40B4-BE49-F238E27FC236}">
                  <a16:creationId xmlns:a16="http://schemas.microsoft.com/office/drawing/2014/main" id="{00000000-0008-0000-0400-00004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248" name="Check Box 1104" hidden="1">
              <a:extLst>
                <a:ext uri="{63B3BB69-23CF-44E3-9099-C40C66FF867C}">
                  <a14:compatExt spid="_x0000_s7248"/>
                </a:ext>
                <a:ext uri="{FF2B5EF4-FFF2-40B4-BE49-F238E27FC236}">
                  <a16:creationId xmlns:a16="http://schemas.microsoft.com/office/drawing/2014/main" id="{00000000-0008-0000-0400-00005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249" name="Check Box 1105" hidden="1">
              <a:extLst>
                <a:ext uri="{63B3BB69-23CF-44E3-9099-C40C66FF867C}">
                  <a14:compatExt spid="_x0000_s7249"/>
                </a:ext>
                <a:ext uri="{FF2B5EF4-FFF2-40B4-BE49-F238E27FC236}">
                  <a16:creationId xmlns:a16="http://schemas.microsoft.com/office/drawing/2014/main" id="{00000000-0008-0000-0400-00005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250" name="Check Box 1106" hidden="1">
              <a:extLst>
                <a:ext uri="{63B3BB69-23CF-44E3-9099-C40C66FF867C}">
                  <a14:compatExt spid="_x0000_s7250"/>
                </a:ext>
                <a:ext uri="{FF2B5EF4-FFF2-40B4-BE49-F238E27FC236}">
                  <a16:creationId xmlns:a16="http://schemas.microsoft.com/office/drawing/2014/main" id="{00000000-0008-0000-0400-00005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251" name="Check Box 1107" hidden="1">
              <a:extLst>
                <a:ext uri="{63B3BB69-23CF-44E3-9099-C40C66FF867C}">
                  <a14:compatExt spid="_x0000_s7251"/>
                </a:ext>
                <a:ext uri="{FF2B5EF4-FFF2-40B4-BE49-F238E27FC236}">
                  <a16:creationId xmlns:a16="http://schemas.microsoft.com/office/drawing/2014/main" id="{00000000-0008-0000-0400-00005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252" name="Check Box 1108" hidden="1">
              <a:extLst>
                <a:ext uri="{63B3BB69-23CF-44E3-9099-C40C66FF867C}">
                  <a14:compatExt spid="_x0000_s7252"/>
                </a:ext>
                <a:ext uri="{FF2B5EF4-FFF2-40B4-BE49-F238E27FC236}">
                  <a16:creationId xmlns:a16="http://schemas.microsoft.com/office/drawing/2014/main" id="{00000000-0008-0000-0400-00005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253" name="Check Box 1109" hidden="1">
              <a:extLst>
                <a:ext uri="{63B3BB69-23CF-44E3-9099-C40C66FF867C}">
                  <a14:compatExt spid="_x0000_s7253"/>
                </a:ext>
                <a:ext uri="{FF2B5EF4-FFF2-40B4-BE49-F238E27FC236}">
                  <a16:creationId xmlns:a16="http://schemas.microsoft.com/office/drawing/2014/main" id="{00000000-0008-0000-0400-00005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254" name="Check Box 1110" hidden="1">
              <a:extLst>
                <a:ext uri="{63B3BB69-23CF-44E3-9099-C40C66FF867C}">
                  <a14:compatExt spid="_x0000_s7254"/>
                </a:ext>
                <a:ext uri="{FF2B5EF4-FFF2-40B4-BE49-F238E27FC236}">
                  <a16:creationId xmlns:a16="http://schemas.microsoft.com/office/drawing/2014/main" id="{00000000-0008-0000-0400-00005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255" name="Check Box 1111" hidden="1">
              <a:extLst>
                <a:ext uri="{63B3BB69-23CF-44E3-9099-C40C66FF867C}">
                  <a14:compatExt spid="_x0000_s7255"/>
                </a:ext>
                <a:ext uri="{FF2B5EF4-FFF2-40B4-BE49-F238E27FC236}">
                  <a16:creationId xmlns:a16="http://schemas.microsoft.com/office/drawing/2014/main" id="{00000000-0008-0000-0400-00005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256" name="Check Box 1112" hidden="1">
              <a:extLst>
                <a:ext uri="{63B3BB69-23CF-44E3-9099-C40C66FF867C}">
                  <a14:compatExt spid="_x0000_s7256"/>
                </a:ext>
                <a:ext uri="{FF2B5EF4-FFF2-40B4-BE49-F238E27FC236}">
                  <a16:creationId xmlns:a16="http://schemas.microsoft.com/office/drawing/2014/main" id="{00000000-0008-0000-0400-00005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257" name="Check Box 1113" hidden="1">
              <a:extLst>
                <a:ext uri="{63B3BB69-23CF-44E3-9099-C40C66FF867C}">
                  <a14:compatExt spid="_x0000_s7257"/>
                </a:ext>
                <a:ext uri="{FF2B5EF4-FFF2-40B4-BE49-F238E27FC236}">
                  <a16:creationId xmlns:a16="http://schemas.microsoft.com/office/drawing/2014/main" id="{00000000-0008-0000-0400-00005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258" name="Check Box 1114" hidden="1">
              <a:extLst>
                <a:ext uri="{63B3BB69-23CF-44E3-9099-C40C66FF867C}">
                  <a14:compatExt spid="_x0000_s7258"/>
                </a:ext>
                <a:ext uri="{FF2B5EF4-FFF2-40B4-BE49-F238E27FC236}">
                  <a16:creationId xmlns:a16="http://schemas.microsoft.com/office/drawing/2014/main" id="{00000000-0008-0000-0400-00005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259" name="Check Box 1115" hidden="1">
              <a:extLst>
                <a:ext uri="{63B3BB69-23CF-44E3-9099-C40C66FF867C}">
                  <a14:compatExt spid="_x0000_s7259"/>
                </a:ext>
                <a:ext uri="{FF2B5EF4-FFF2-40B4-BE49-F238E27FC236}">
                  <a16:creationId xmlns:a16="http://schemas.microsoft.com/office/drawing/2014/main" id="{00000000-0008-0000-0400-00005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260" name="Check Box 1116" hidden="1">
              <a:extLst>
                <a:ext uri="{63B3BB69-23CF-44E3-9099-C40C66FF867C}">
                  <a14:compatExt spid="_x0000_s7260"/>
                </a:ext>
                <a:ext uri="{FF2B5EF4-FFF2-40B4-BE49-F238E27FC236}">
                  <a16:creationId xmlns:a16="http://schemas.microsoft.com/office/drawing/2014/main" id="{00000000-0008-0000-0400-00005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261" name="Check Box 1117" hidden="1">
              <a:extLst>
                <a:ext uri="{63B3BB69-23CF-44E3-9099-C40C66FF867C}">
                  <a14:compatExt spid="_x0000_s7261"/>
                </a:ext>
                <a:ext uri="{FF2B5EF4-FFF2-40B4-BE49-F238E27FC236}">
                  <a16:creationId xmlns:a16="http://schemas.microsoft.com/office/drawing/2014/main" id="{00000000-0008-0000-0400-00005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262" name="Check Box 1118" hidden="1">
              <a:extLst>
                <a:ext uri="{63B3BB69-23CF-44E3-9099-C40C66FF867C}">
                  <a14:compatExt spid="_x0000_s7262"/>
                </a:ext>
                <a:ext uri="{FF2B5EF4-FFF2-40B4-BE49-F238E27FC236}">
                  <a16:creationId xmlns:a16="http://schemas.microsoft.com/office/drawing/2014/main" id="{00000000-0008-0000-0400-00005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263" name="Check Box 1119" hidden="1">
              <a:extLst>
                <a:ext uri="{63B3BB69-23CF-44E3-9099-C40C66FF867C}">
                  <a14:compatExt spid="_x0000_s7263"/>
                </a:ext>
                <a:ext uri="{FF2B5EF4-FFF2-40B4-BE49-F238E27FC236}">
                  <a16:creationId xmlns:a16="http://schemas.microsoft.com/office/drawing/2014/main" id="{00000000-0008-0000-0400-00005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264" name="Check Box 1120" hidden="1">
              <a:extLst>
                <a:ext uri="{63B3BB69-23CF-44E3-9099-C40C66FF867C}">
                  <a14:compatExt spid="_x0000_s7264"/>
                </a:ext>
                <a:ext uri="{FF2B5EF4-FFF2-40B4-BE49-F238E27FC236}">
                  <a16:creationId xmlns:a16="http://schemas.microsoft.com/office/drawing/2014/main" id="{00000000-0008-0000-0400-00006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265" name="Check Box 1121" hidden="1">
              <a:extLst>
                <a:ext uri="{63B3BB69-23CF-44E3-9099-C40C66FF867C}">
                  <a14:compatExt spid="_x0000_s7265"/>
                </a:ext>
                <a:ext uri="{FF2B5EF4-FFF2-40B4-BE49-F238E27FC236}">
                  <a16:creationId xmlns:a16="http://schemas.microsoft.com/office/drawing/2014/main" id="{00000000-0008-0000-0400-00006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266" name="Check Box 1122" hidden="1">
              <a:extLst>
                <a:ext uri="{63B3BB69-23CF-44E3-9099-C40C66FF867C}">
                  <a14:compatExt spid="_x0000_s7266"/>
                </a:ext>
                <a:ext uri="{FF2B5EF4-FFF2-40B4-BE49-F238E27FC236}">
                  <a16:creationId xmlns:a16="http://schemas.microsoft.com/office/drawing/2014/main" id="{00000000-0008-0000-0400-00006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267" name="Check Box 1123" hidden="1">
              <a:extLst>
                <a:ext uri="{63B3BB69-23CF-44E3-9099-C40C66FF867C}">
                  <a14:compatExt spid="_x0000_s7267"/>
                </a:ext>
                <a:ext uri="{FF2B5EF4-FFF2-40B4-BE49-F238E27FC236}">
                  <a16:creationId xmlns:a16="http://schemas.microsoft.com/office/drawing/2014/main" id="{00000000-0008-0000-0400-00006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268" name="Check Box 1124" hidden="1">
              <a:extLst>
                <a:ext uri="{63B3BB69-23CF-44E3-9099-C40C66FF867C}">
                  <a14:compatExt spid="_x0000_s7268"/>
                </a:ext>
                <a:ext uri="{FF2B5EF4-FFF2-40B4-BE49-F238E27FC236}">
                  <a16:creationId xmlns:a16="http://schemas.microsoft.com/office/drawing/2014/main" id="{00000000-0008-0000-0400-00006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269" name="Check Box 1125" hidden="1">
              <a:extLst>
                <a:ext uri="{63B3BB69-23CF-44E3-9099-C40C66FF867C}">
                  <a14:compatExt spid="_x0000_s7269"/>
                </a:ext>
                <a:ext uri="{FF2B5EF4-FFF2-40B4-BE49-F238E27FC236}">
                  <a16:creationId xmlns:a16="http://schemas.microsoft.com/office/drawing/2014/main" id="{00000000-0008-0000-0400-00006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270" name="Check Box 1126" hidden="1">
              <a:extLst>
                <a:ext uri="{63B3BB69-23CF-44E3-9099-C40C66FF867C}">
                  <a14:compatExt spid="_x0000_s7270"/>
                </a:ext>
                <a:ext uri="{FF2B5EF4-FFF2-40B4-BE49-F238E27FC236}">
                  <a16:creationId xmlns:a16="http://schemas.microsoft.com/office/drawing/2014/main" id="{00000000-0008-0000-0400-00006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271" name="Check Box 1127" hidden="1">
              <a:extLst>
                <a:ext uri="{63B3BB69-23CF-44E3-9099-C40C66FF867C}">
                  <a14:compatExt spid="_x0000_s7271"/>
                </a:ext>
                <a:ext uri="{FF2B5EF4-FFF2-40B4-BE49-F238E27FC236}">
                  <a16:creationId xmlns:a16="http://schemas.microsoft.com/office/drawing/2014/main" id="{00000000-0008-0000-0400-00006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272" name="Check Box 1128" hidden="1">
              <a:extLst>
                <a:ext uri="{63B3BB69-23CF-44E3-9099-C40C66FF867C}">
                  <a14:compatExt spid="_x0000_s7272"/>
                </a:ext>
                <a:ext uri="{FF2B5EF4-FFF2-40B4-BE49-F238E27FC236}">
                  <a16:creationId xmlns:a16="http://schemas.microsoft.com/office/drawing/2014/main" id="{00000000-0008-0000-0400-00006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273" name="Check Box 1129" hidden="1">
              <a:extLst>
                <a:ext uri="{63B3BB69-23CF-44E3-9099-C40C66FF867C}">
                  <a14:compatExt spid="_x0000_s7273"/>
                </a:ext>
                <a:ext uri="{FF2B5EF4-FFF2-40B4-BE49-F238E27FC236}">
                  <a16:creationId xmlns:a16="http://schemas.microsoft.com/office/drawing/2014/main" id="{00000000-0008-0000-0400-00006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274" name="Check Box 1130" hidden="1">
              <a:extLst>
                <a:ext uri="{63B3BB69-23CF-44E3-9099-C40C66FF867C}">
                  <a14:compatExt spid="_x0000_s7274"/>
                </a:ext>
                <a:ext uri="{FF2B5EF4-FFF2-40B4-BE49-F238E27FC236}">
                  <a16:creationId xmlns:a16="http://schemas.microsoft.com/office/drawing/2014/main" id="{00000000-0008-0000-0400-00006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275" name="Check Box 1131" hidden="1">
              <a:extLst>
                <a:ext uri="{63B3BB69-23CF-44E3-9099-C40C66FF867C}">
                  <a14:compatExt spid="_x0000_s7275"/>
                </a:ext>
                <a:ext uri="{FF2B5EF4-FFF2-40B4-BE49-F238E27FC236}">
                  <a16:creationId xmlns:a16="http://schemas.microsoft.com/office/drawing/2014/main" id="{00000000-0008-0000-0400-00006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276" name="Check Box 1132" hidden="1">
              <a:extLst>
                <a:ext uri="{63B3BB69-23CF-44E3-9099-C40C66FF867C}">
                  <a14:compatExt spid="_x0000_s7276"/>
                </a:ext>
                <a:ext uri="{FF2B5EF4-FFF2-40B4-BE49-F238E27FC236}">
                  <a16:creationId xmlns:a16="http://schemas.microsoft.com/office/drawing/2014/main" id="{00000000-0008-0000-0400-00006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277" name="Check Box 1133" hidden="1">
              <a:extLst>
                <a:ext uri="{63B3BB69-23CF-44E3-9099-C40C66FF867C}">
                  <a14:compatExt spid="_x0000_s7277"/>
                </a:ext>
                <a:ext uri="{FF2B5EF4-FFF2-40B4-BE49-F238E27FC236}">
                  <a16:creationId xmlns:a16="http://schemas.microsoft.com/office/drawing/2014/main" id="{00000000-0008-0000-0400-00006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278" name="Check Box 1134" hidden="1">
              <a:extLst>
                <a:ext uri="{63B3BB69-23CF-44E3-9099-C40C66FF867C}">
                  <a14:compatExt spid="_x0000_s7278"/>
                </a:ext>
                <a:ext uri="{FF2B5EF4-FFF2-40B4-BE49-F238E27FC236}">
                  <a16:creationId xmlns:a16="http://schemas.microsoft.com/office/drawing/2014/main" id="{00000000-0008-0000-0400-00006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279" name="Check Box 1135" hidden="1">
              <a:extLst>
                <a:ext uri="{63B3BB69-23CF-44E3-9099-C40C66FF867C}">
                  <a14:compatExt spid="_x0000_s7279"/>
                </a:ext>
                <a:ext uri="{FF2B5EF4-FFF2-40B4-BE49-F238E27FC236}">
                  <a16:creationId xmlns:a16="http://schemas.microsoft.com/office/drawing/2014/main" id="{00000000-0008-0000-0400-00006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280" name="Check Box 1136" hidden="1">
              <a:extLst>
                <a:ext uri="{63B3BB69-23CF-44E3-9099-C40C66FF867C}">
                  <a14:compatExt spid="_x0000_s7280"/>
                </a:ext>
                <a:ext uri="{FF2B5EF4-FFF2-40B4-BE49-F238E27FC236}">
                  <a16:creationId xmlns:a16="http://schemas.microsoft.com/office/drawing/2014/main" id="{00000000-0008-0000-0400-00007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281" name="Check Box 1137" hidden="1">
              <a:extLst>
                <a:ext uri="{63B3BB69-23CF-44E3-9099-C40C66FF867C}">
                  <a14:compatExt spid="_x0000_s7281"/>
                </a:ext>
                <a:ext uri="{FF2B5EF4-FFF2-40B4-BE49-F238E27FC236}">
                  <a16:creationId xmlns:a16="http://schemas.microsoft.com/office/drawing/2014/main" id="{00000000-0008-0000-0400-00007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282" name="Check Box 1138" hidden="1">
              <a:extLst>
                <a:ext uri="{63B3BB69-23CF-44E3-9099-C40C66FF867C}">
                  <a14:compatExt spid="_x0000_s7282"/>
                </a:ext>
                <a:ext uri="{FF2B5EF4-FFF2-40B4-BE49-F238E27FC236}">
                  <a16:creationId xmlns:a16="http://schemas.microsoft.com/office/drawing/2014/main" id="{00000000-0008-0000-0400-00007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283" name="Check Box 1139" hidden="1">
              <a:extLst>
                <a:ext uri="{63B3BB69-23CF-44E3-9099-C40C66FF867C}">
                  <a14:compatExt spid="_x0000_s7283"/>
                </a:ext>
                <a:ext uri="{FF2B5EF4-FFF2-40B4-BE49-F238E27FC236}">
                  <a16:creationId xmlns:a16="http://schemas.microsoft.com/office/drawing/2014/main" id="{00000000-0008-0000-0400-00007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284" name="Check Box 1140" hidden="1">
              <a:extLst>
                <a:ext uri="{63B3BB69-23CF-44E3-9099-C40C66FF867C}">
                  <a14:compatExt spid="_x0000_s7284"/>
                </a:ext>
                <a:ext uri="{FF2B5EF4-FFF2-40B4-BE49-F238E27FC236}">
                  <a16:creationId xmlns:a16="http://schemas.microsoft.com/office/drawing/2014/main" id="{00000000-0008-0000-0400-00007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285" name="Check Box 1141" hidden="1">
              <a:extLst>
                <a:ext uri="{63B3BB69-23CF-44E3-9099-C40C66FF867C}">
                  <a14:compatExt spid="_x0000_s7285"/>
                </a:ext>
                <a:ext uri="{FF2B5EF4-FFF2-40B4-BE49-F238E27FC236}">
                  <a16:creationId xmlns:a16="http://schemas.microsoft.com/office/drawing/2014/main" id="{00000000-0008-0000-0400-00007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286" name="Check Box 1142" hidden="1">
              <a:extLst>
                <a:ext uri="{63B3BB69-23CF-44E3-9099-C40C66FF867C}">
                  <a14:compatExt spid="_x0000_s7286"/>
                </a:ext>
                <a:ext uri="{FF2B5EF4-FFF2-40B4-BE49-F238E27FC236}">
                  <a16:creationId xmlns:a16="http://schemas.microsoft.com/office/drawing/2014/main" id="{00000000-0008-0000-0400-00007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287" name="Check Box 1143" hidden="1">
              <a:extLst>
                <a:ext uri="{63B3BB69-23CF-44E3-9099-C40C66FF867C}">
                  <a14:compatExt spid="_x0000_s7287"/>
                </a:ext>
                <a:ext uri="{FF2B5EF4-FFF2-40B4-BE49-F238E27FC236}">
                  <a16:creationId xmlns:a16="http://schemas.microsoft.com/office/drawing/2014/main" id="{00000000-0008-0000-0400-00007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288" name="Check Box 1144" hidden="1">
              <a:extLst>
                <a:ext uri="{63B3BB69-23CF-44E3-9099-C40C66FF867C}">
                  <a14:compatExt spid="_x0000_s7288"/>
                </a:ext>
                <a:ext uri="{FF2B5EF4-FFF2-40B4-BE49-F238E27FC236}">
                  <a16:creationId xmlns:a16="http://schemas.microsoft.com/office/drawing/2014/main" id="{00000000-0008-0000-0400-00007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289" name="Check Box 1145" hidden="1">
              <a:extLst>
                <a:ext uri="{63B3BB69-23CF-44E3-9099-C40C66FF867C}">
                  <a14:compatExt spid="_x0000_s7289"/>
                </a:ext>
                <a:ext uri="{FF2B5EF4-FFF2-40B4-BE49-F238E27FC236}">
                  <a16:creationId xmlns:a16="http://schemas.microsoft.com/office/drawing/2014/main" id="{00000000-0008-0000-0400-00007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290" name="Check Box 1146" hidden="1">
              <a:extLst>
                <a:ext uri="{63B3BB69-23CF-44E3-9099-C40C66FF867C}">
                  <a14:compatExt spid="_x0000_s7290"/>
                </a:ext>
                <a:ext uri="{FF2B5EF4-FFF2-40B4-BE49-F238E27FC236}">
                  <a16:creationId xmlns:a16="http://schemas.microsoft.com/office/drawing/2014/main" id="{00000000-0008-0000-0400-00007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291" name="Check Box 1147" hidden="1">
              <a:extLst>
                <a:ext uri="{63B3BB69-23CF-44E3-9099-C40C66FF867C}">
                  <a14:compatExt spid="_x0000_s7291"/>
                </a:ext>
                <a:ext uri="{FF2B5EF4-FFF2-40B4-BE49-F238E27FC236}">
                  <a16:creationId xmlns:a16="http://schemas.microsoft.com/office/drawing/2014/main" id="{00000000-0008-0000-0400-00007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292" name="Check Box 1148" hidden="1">
              <a:extLst>
                <a:ext uri="{63B3BB69-23CF-44E3-9099-C40C66FF867C}">
                  <a14:compatExt spid="_x0000_s7292"/>
                </a:ext>
                <a:ext uri="{FF2B5EF4-FFF2-40B4-BE49-F238E27FC236}">
                  <a16:creationId xmlns:a16="http://schemas.microsoft.com/office/drawing/2014/main" id="{00000000-0008-0000-0400-00007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293" name="Check Box 1149" hidden="1">
              <a:extLst>
                <a:ext uri="{63B3BB69-23CF-44E3-9099-C40C66FF867C}">
                  <a14:compatExt spid="_x0000_s7293"/>
                </a:ext>
                <a:ext uri="{FF2B5EF4-FFF2-40B4-BE49-F238E27FC236}">
                  <a16:creationId xmlns:a16="http://schemas.microsoft.com/office/drawing/2014/main" id="{00000000-0008-0000-0400-00007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294" name="Check Box 1150" hidden="1">
              <a:extLst>
                <a:ext uri="{63B3BB69-23CF-44E3-9099-C40C66FF867C}">
                  <a14:compatExt spid="_x0000_s7294"/>
                </a:ext>
                <a:ext uri="{FF2B5EF4-FFF2-40B4-BE49-F238E27FC236}">
                  <a16:creationId xmlns:a16="http://schemas.microsoft.com/office/drawing/2014/main" id="{00000000-0008-0000-0400-00007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295" name="Check Box 1151" hidden="1">
              <a:extLst>
                <a:ext uri="{63B3BB69-23CF-44E3-9099-C40C66FF867C}">
                  <a14:compatExt spid="_x0000_s7295"/>
                </a:ext>
                <a:ext uri="{FF2B5EF4-FFF2-40B4-BE49-F238E27FC236}">
                  <a16:creationId xmlns:a16="http://schemas.microsoft.com/office/drawing/2014/main" id="{00000000-0008-0000-0400-00007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296" name="Check Box 1152" hidden="1">
              <a:extLst>
                <a:ext uri="{63B3BB69-23CF-44E3-9099-C40C66FF867C}">
                  <a14:compatExt spid="_x0000_s7296"/>
                </a:ext>
                <a:ext uri="{FF2B5EF4-FFF2-40B4-BE49-F238E27FC236}">
                  <a16:creationId xmlns:a16="http://schemas.microsoft.com/office/drawing/2014/main" id="{00000000-0008-0000-0400-00008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297" name="Check Box 1153" hidden="1">
              <a:extLst>
                <a:ext uri="{63B3BB69-23CF-44E3-9099-C40C66FF867C}">
                  <a14:compatExt spid="_x0000_s7297"/>
                </a:ext>
                <a:ext uri="{FF2B5EF4-FFF2-40B4-BE49-F238E27FC236}">
                  <a16:creationId xmlns:a16="http://schemas.microsoft.com/office/drawing/2014/main" id="{00000000-0008-0000-0400-00008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298" name="Check Box 1154" hidden="1">
              <a:extLst>
                <a:ext uri="{63B3BB69-23CF-44E3-9099-C40C66FF867C}">
                  <a14:compatExt spid="_x0000_s7298"/>
                </a:ext>
                <a:ext uri="{FF2B5EF4-FFF2-40B4-BE49-F238E27FC236}">
                  <a16:creationId xmlns:a16="http://schemas.microsoft.com/office/drawing/2014/main" id="{00000000-0008-0000-0400-00008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299" name="Check Box 1155" hidden="1">
              <a:extLst>
                <a:ext uri="{63B3BB69-23CF-44E3-9099-C40C66FF867C}">
                  <a14:compatExt spid="_x0000_s7299"/>
                </a:ext>
                <a:ext uri="{FF2B5EF4-FFF2-40B4-BE49-F238E27FC236}">
                  <a16:creationId xmlns:a16="http://schemas.microsoft.com/office/drawing/2014/main" id="{00000000-0008-0000-0400-00008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300" name="Check Box 1156" hidden="1">
              <a:extLst>
                <a:ext uri="{63B3BB69-23CF-44E3-9099-C40C66FF867C}">
                  <a14:compatExt spid="_x0000_s7300"/>
                </a:ext>
                <a:ext uri="{FF2B5EF4-FFF2-40B4-BE49-F238E27FC236}">
                  <a16:creationId xmlns:a16="http://schemas.microsoft.com/office/drawing/2014/main" id="{00000000-0008-0000-0400-00008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301" name="Check Box 1157" hidden="1">
              <a:extLst>
                <a:ext uri="{63B3BB69-23CF-44E3-9099-C40C66FF867C}">
                  <a14:compatExt spid="_x0000_s7301"/>
                </a:ext>
                <a:ext uri="{FF2B5EF4-FFF2-40B4-BE49-F238E27FC236}">
                  <a16:creationId xmlns:a16="http://schemas.microsoft.com/office/drawing/2014/main" id="{00000000-0008-0000-0400-00008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302" name="Check Box 1158" hidden="1">
              <a:extLst>
                <a:ext uri="{63B3BB69-23CF-44E3-9099-C40C66FF867C}">
                  <a14:compatExt spid="_x0000_s7302"/>
                </a:ext>
                <a:ext uri="{FF2B5EF4-FFF2-40B4-BE49-F238E27FC236}">
                  <a16:creationId xmlns:a16="http://schemas.microsoft.com/office/drawing/2014/main" id="{00000000-0008-0000-0400-00008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303" name="Check Box 1159" hidden="1">
              <a:extLst>
                <a:ext uri="{63B3BB69-23CF-44E3-9099-C40C66FF867C}">
                  <a14:compatExt spid="_x0000_s7303"/>
                </a:ext>
                <a:ext uri="{FF2B5EF4-FFF2-40B4-BE49-F238E27FC236}">
                  <a16:creationId xmlns:a16="http://schemas.microsoft.com/office/drawing/2014/main" id="{00000000-0008-0000-0400-00008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304" name="Check Box 1160" hidden="1">
              <a:extLst>
                <a:ext uri="{63B3BB69-23CF-44E3-9099-C40C66FF867C}">
                  <a14:compatExt spid="_x0000_s7304"/>
                </a:ext>
                <a:ext uri="{FF2B5EF4-FFF2-40B4-BE49-F238E27FC236}">
                  <a16:creationId xmlns:a16="http://schemas.microsoft.com/office/drawing/2014/main" id="{00000000-0008-0000-0400-00008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305" name="Check Box 1161" hidden="1">
              <a:extLst>
                <a:ext uri="{63B3BB69-23CF-44E3-9099-C40C66FF867C}">
                  <a14:compatExt spid="_x0000_s7305"/>
                </a:ext>
                <a:ext uri="{FF2B5EF4-FFF2-40B4-BE49-F238E27FC236}">
                  <a16:creationId xmlns:a16="http://schemas.microsoft.com/office/drawing/2014/main" id="{00000000-0008-0000-0400-00008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306" name="Check Box 1162" hidden="1">
              <a:extLst>
                <a:ext uri="{63B3BB69-23CF-44E3-9099-C40C66FF867C}">
                  <a14:compatExt spid="_x0000_s7306"/>
                </a:ext>
                <a:ext uri="{FF2B5EF4-FFF2-40B4-BE49-F238E27FC236}">
                  <a16:creationId xmlns:a16="http://schemas.microsoft.com/office/drawing/2014/main" id="{00000000-0008-0000-0400-00008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307" name="Check Box 1163" hidden="1">
              <a:extLst>
                <a:ext uri="{63B3BB69-23CF-44E3-9099-C40C66FF867C}">
                  <a14:compatExt spid="_x0000_s7307"/>
                </a:ext>
                <a:ext uri="{FF2B5EF4-FFF2-40B4-BE49-F238E27FC236}">
                  <a16:creationId xmlns:a16="http://schemas.microsoft.com/office/drawing/2014/main" id="{00000000-0008-0000-0400-00008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308" name="Check Box 1164" hidden="1">
              <a:extLst>
                <a:ext uri="{63B3BB69-23CF-44E3-9099-C40C66FF867C}">
                  <a14:compatExt spid="_x0000_s7308"/>
                </a:ext>
                <a:ext uri="{FF2B5EF4-FFF2-40B4-BE49-F238E27FC236}">
                  <a16:creationId xmlns:a16="http://schemas.microsoft.com/office/drawing/2014/main" id="{00000000-0008-0000-0400-00008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309" name="Check Box 1165" hidden="1">
              <a:extLst>
                <a:ext uri="{63B3BB69-23CF-44E3-9099-C40C66FF867C}">
                  <a14:compatExt spid="_x0000_s7309"/>
                </a:ext>
                <a:ext uri="{FF2B5EF4-FFF2-40B4-BE49-F238E27FC236}">
                  <a16:creationId xmlns:a16="http://schemas.microsoft.com/office/drawing/2014/main" id="{00000000-0008-0000-0400-00008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310" name="Check Box 1166" hidden="1">
              <a:extLst>
                <a:ext uri="{63B3BB69-23CF-44E3-9099-C40C66FF867C}">
                  <a14:compatExt spid="_x0000_s7310"/>
                </a:ext>
                <a:ext uri="{FF2B5EF4-FFF2-40B4-BE49-F238E27FC236}">
                  <a16:creationId xmlns:a16="http://schemas.microsoft.com/office/drawing/2014/main" id="{00000000-0008-0000-0400-00008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311" name="Check Box 1167" hidden="1">
              <a:extLst>
                <a:ext uri="{63B3BB69-23CF-44E3-9099-C40C66FF867C}">
                  <a14:compatExt spid="_x0000_s7311"/>
                </a:ext>
                <a:ext uri="{FF2B5EF4-FFF2-40B4-BE49-F238E27FC236}">
                  <a16:creationId xmlns:a16="http://schemas.microsoft.com/office/drawing/2014/main" id="{00000000-0008-0000-0400-00008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312" name="Check Box 1168" hidden="1">
              <a:extLst>
                <a:ext uri="{63B3BB69-23CF-44E3-9099-C40C66FF867C}">
                  <a14:compatExt spid="_x0000_s7312"/>
                </a:ext>
                <a:ext uri="{FF2B5EF4-FFF2-40B4-BE49-F238E27FC236}">
                  <a16:creationId xmlns:a16="http://schemas.microsoft.com/office/drawing/2014/main" id="{00000000-0008-0000-0400-00009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313" name="Check Box 1169" hidden="1">
              <a:extLst>
                <a:ext uri="{63B3BB69-23CF-44E3-9099-C40C66FF867C}">
                  <a14:compatExt spid="_x0000_s7313"/>
                </a:ext>
                <a:ext uri="{FF2B5EF4-FFF2-40B4-BE49-F238E27FC236}">
                  <a16:creationId xmlns:a16="http://schemas.microsoft.com/office/drawing/2014/main" id="{00000000-0008-0000-0400-00009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314" name="Check Box 1170" hidden="1">
              <a:extLst>
                <a:ext uri="{63B3BB69-23CF-44E3-9099-C40C66FF867C}">
                  <a14:compatExt spid="_x0000_s7314"/>
                </a:ext>
                <a:ext uri="{FF2B5EF4-FFF2-40B4-BE49-F238E27FC236}">
                  <a16:creationId xmlns:a16="http://schemas.microsoft.com/office/drawing/2014/main" id="{00000000-0008-0000-0400-00009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315" name="Check Box 1171" hidden="1">
              <a:extLst>
                <a:ext uri="{63B3BB69-23CF-44E3-9099-C40C66FF867C}">
                  <a14:compatExt spid="_x0000_s7315"/>
                </a:ext>
                <a:ext uri="{FF2B5EF4-FFF2-40B4-BE49-F238E27FC236}">
                  <a16:creationId xmlns:a16="http://schemas.microsoft.com/office/drawing/2014/main" id="{00000000-0008-0000-0400-00009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316" name="Check Box 1172" hidden="1">
              <a:extLst>
                <a:ext uri="{63B3BB69-23CF-44E3-9099-C40C66FF867C}">
                  <a14:compatExt spid="_x0000_s7316"/>
                </a:ext>
                <a:ext uri="{FF2B5EF4-FFF2-40B4-BE49-F238E27FC236}">
                  <a16:creationId xmlns:a16="http://schemas.microsoft.com/office/drawing/2014/main" id="{00000000-0008-0000-0400-00009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317" name="Check Box 1173" hidden="1">
              <a:extLst>
                <a:ext uri="{63B3BB69-23CF-44E3-9099-C40C66FF867C}">
                  <a14:compatExt spid="_x0000_s7317"/>
                </a:ext>
                <a:ext uri="{FF2B5EF4-FFF2-40B4-BE49-F238E27FC236}">
                  <a16:creationId xmlns:a16="http://schemas.microsoft.com/office/drawing/2014/main" id="{00000000-0008-0000-0400-00009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318" name="Check Box 1174" hidden="1">
              <a:extLst>
                <a:ext uri="{63B3BB69-23CF-44E3-9099-C40C66FF867C}">
                  <a14:compatExt spid="_x0000_s7318"/>
                </a:ext>
                <a:ext uri="{FF2B5EF4-FFF2-40B4-BE49-F238E27FC236}">
                  <a16:creationId xmlns:a16="http://schemas.microsoft.com/office/drawing/2014/main" id="{00000000-0008-0000-0400-00009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319" name="Check Box 1175" hidden="1">
              <a:extLst>
                <a:ext uri="{63B3BB69-23CF-44E3-9099-C40C66FF867C}">
                  <a14:compatExt spid="_x0000_s7319"/>
                </a:ext>
                <a:ext uri="{FF2B5EF4-FFF2-40B4-BE49-F238E27FC236}">
                  <a16:creationId xmlns:a16="http://schemas.microsoft.com/office/drawing/2014/main" id="{00000000-0008-0000-0400-00009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320" name="Check Box 1176" hidden="1">
              <a:extLst>
                <a:ext uri="{63B3BB69-23CF-44E3-9099-C40C66FF867C}">
                  <a14:compatExt spid="_x0000_s7320"/>
                </a:ext>
                <a:ext uri="{FF2B5EF4-FFF2-40B4-BE49-F238E27FC236}">
                  <a16:creationId xmlns:a16="http://schemas.microsoft.com/office/drawing/2014/main" id="{00000000-0008-0000-0400-00009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321" name="Check Box 1177" hidden="1">
              <a:extLst>
                <a:ext uri="{63B3BB69-23CF-44E3-9099-C40C66FF867C}">
                  <a14:compatExt spid="_x0000_s7321"/>
                </a:ext>
                <a:ext uri="{FF2B5EF4-FFF2-40B4-BE49-F238E27FC236}">
                  <a16:creationId xmlns:a16="http://schemas.microsoft.com/office/drawing/2014/main" id="{00000000-0008-0000-0400-00009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322" name="Check Box 1178" hidden="1">
              <a:extLst>
                <a:ext uri="{63B3BB69-23CF-44E3-9099-C40C66FF867C}">
                  <a14:compatExt spid="_x0000_s7322"/>
                </a:ext>
                <a:ext uri="{FF2B5EF4-FFF2-40B4-BE49-F238E27FC236}">
                  <a16:creationId xmlns:a16="http://schemas.microsoft.com/office/drawing/2014/main" id="{00000000-0008-0000-0400-00009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323" name="Check Box 1179" hidden="1">
              <a:extLst>
                <a:ext uri="{63B3BB69-23CF-44E3-9099-C40C66FF867C}">
                  <a14:compatExt spid="_x0000_s7323"/>
                </a:ext>
                <a:ext uri="{FF2B5EF4-FFF2-40B4-BE49-F238E27FC236}">
                  <a16:creationId xmlns:a16="http://schemas.microsoft.com/office/drawing/2014/main" id="{00000000-0008-0000-0400-00009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324" name="Check Box 1180" hidden="1">
              <a:extLst>
                <a:ext uri="{63B3BB69-23CF-44E3-9099-C40C66FF867C}">
                  <a14:compatExt spid="_x0000_s7324"/>
                </a:ext>
                <a:ext uri="{FF2B5EF4-FFF2-40B4-BE49-F238E27FC236}">
                  <a16:creationId xmlns:a16="http://schemas.microsoft.com/office/drawing/2014/main" id="{00000000-0008-0000-0400-00009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325" name="Check Box 1181" hidden="1">
              <a:extLst>
                <a:ext uri="{63B3BB69-23CF-44E3-9099-C40C66FF867C}">
                  <a14:compatExt spid="_x0000_s7325"/>
                </a:ext>
                <a:ext uri="{FF2B5EF4-FFF2-40B4-BE49-F238E27FC236}">
                  <a16:creationId xmlns:a16="http://schemas.microsoft.com/office/drawing/2014/main" id="{00000000-0008-0000-0400-00009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326" name="Check Box 1182" hidden="1">
              <a:extLst>
                <a:ext uri="{63B3BB69-23CF-44E3-9099-C40C66FF867C}">
                  <a14:compatExt spid="_x0000_s7326"/>
                </a:ext>
                <a:ext uri="{FF2B5EF4-FFF2-40B4-BE49-F238E27FC236}">
                  <a16:creationId xmlns:a16="http://schemas.microsoft.com/office/drawing/2014/main" id="{00000000-0008-0000-0400-00009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327" name="Check Box 1183" hidden="1">
              <a:extLst>
                <a:ext uri="{63B3BB69-23CF-44E3-9099-C40C66FF867C}">
                  <a14:compatExt spid="_x0000_s7327"/>
                </a:ext>
                <a:ext uri="{FF2B5EF4-FFF2-40B4-BE49-F238E27FC236}">
                  <a16:creationId xmlns:a16="http://schemas.microsoft.com/office/drawing/2014/main" id="{00000000-0008-0000-0400-00009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328" name="Check Box 1184" hidden="1">
              <a:extLst>
                <a:ext uri="{63B3BB69-23CF-44E3-9099-C40C66FF867C}">
                  <a14:compatExt spid="_x0000_s7328"/>
                </a:ext>
                <a:ext uri="{FF2B5EF4-FFF2-40B4-BE49-F238E27FC236}">
                  <a16:creationId xmlns:a16="http://schemas.microsoft.com/office/drawing/2014/main" id="{00000000-0008-0000-0400-0000A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329" name="Check Box 1185" hidden="1">
              <a:extLst>
                <a:ext uri="{63B3BB69-23CF-44E3-9099-C40C66FF867C}">
                  <a14:compatExt spid="_x0000_s7329"/>
                </a:ext>
                <a:ext uri="{FF2B5EF4-FFF2-40B4-BE49-F238E27FC236}">
                  <a16:creationId xmlns:a16="http://schemas.microsoft.com/office/drawing/2014/main" id="{00000000-0008-0000-0400-0000A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330" name="Check Box 1186" hidden="1">
              <a:extLst>
                <a:ext uri="{63B3BB69-23CF-44E3-9099-C40C66FF867C}">
                  <a14:compatExt spid="_x0000_s7330"/>
                </a:ext>
                <a:ext uri="{FF2B5EF4-FFF2-40B4-BE49-F238E27FC236}">
                  <a16:creationId xmlns:a16="http://schemas.microsoft.com/office/drawing/2014/main" id="{00000000-0008-0000-0400-0000A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331" name="Check Box 1187" hidden="1">
              <a:extLst>
                <a:ext uri="{63B3BB69-23CF-44E3-9099-C40C66FF867C}">
                  <a14:compatExt spid="_x0000_s7331"/>
                </a:ext>
                <a:ext uri="{FF2B5EF4-FFF2-40B4-BE49-F238E27FC236}">
                  <a16:creationId xmlns:a16="http://schemas.microsoft.com/office/drawing/2014/main" id="{00000000-0008-0000-0400-0000A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332" name="Check Box 1188" hidden="1">
              <a:extLst>
                <a:ext uri="{63B3BB69-23CF-44E3-9099-C40C66FF867C}">
                  <a14:compatExt spid="_x0000_s7332"/>
                </a:ext>
                <a:ext uri="{FF2B5EF4-FFF2-40B4-BE49-F238E27FC236}">
                  <a16:creationId xmlns:a16="http://schemas.microsoft.com/office/drawing/2014/main" id="{00000000-0008-0000-0400-0000A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333" name="Check Box 1189" hidden="1">
              <a:extLst>
                <a:ext uri="{63B3BB69-23CF-44E3-9099-C40C66FF867C}">
                  <a14:compatExt spid="_x0000_s7333"/>
                </a:ext>
                <a:ext uri="{FF2B5EF4-FFF2-40B4-BE49-F238E27FC236}">
                  <a16:creationId xmlns:a16="http://schemas.microsoft.com/office/drawing/2014/main" id="{00000000-0008-0000-0400-0000A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334" name="Check Box 1190" hidden="1">
              <a:extLst>
                <a:ext uri="{63B3BB69-23CF-44E3-9099-C40C66FF867C}">
                  <a14:compatExt spid="_x0000_s7334"/>
                </a:ext>
                <a:ext uri="{FF2B5EF4-FFF2-40B4-BE49-F238E27FC236}">
                  <a16:creationId xmlns:a16="http://schemas.microsoft.com/office/drawing/2014/main" id="{00000000-0008-0000-0400-0000A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335" name="Check Box 1191" hidden="1">
              <a:extLst>
                <a:ext uri="{63B3BB69-23CF-44E3-9099-C40C66FF867C}">
                  <a14:compatExt spid="_x0000_s7335"/>
                </a:ext>
                <a:ext uri="{FF2B5EF4-FFF2-40B4-BE49-F238E27FC236}">
                  <a16:creationId xmlns:a16="http://schemas.microsoft.com/office/drawing/2014/main" id="{00000000-0008-0000-0400-0000A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336" name="Check Box 1192" hidden="1">
              <a:extLst>
                <a:ext uri="{63B3BB69-23CF-44E3-9099-C40C66FF867C}">
                  <a14:compatExt spid="_x0000_s7336"/>
                </a:ext>
                <a:ext uri="{FF2B5EF4-FFF2-40B4-BE49-F238E27FC236}">
                  <a16:creationId xmlns:a16="http://schemas.microsoft.com/office/drawing/2014/main" id="{00000000-0008-0000-0400-0000A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337" name="Check Box 1193" hidden="1">
              <a:extLst>
                <a:ext uri="{63B3BB69-23CF-44E3-9099-C40C66FF867C}">
                  <a14:compatExt spid="_x0000_s7337"/>
                </a:ext>
                <a:ext uri="{FF2B5EF4-FFF2-40B4-BE49-F238E27FC236}">
                  <a16:creationId xmlns:a16="http://schemas.microsoft.com/office/drawing/2014/main" id="{00000000-0008-0000-0400-0000A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338" name="Check Box 1194" hidden="1">
              <a:extLst>
                <a:ext uri="{63B3BB69-23CF-44E3-9099-C40C66FF867C}">
                  <a14:compatExt spid="_x0000_s7338"/>
                </a:ext>
                <a:ext uri="{FF2B5EF4-FFF2-40B4-BE49-F238E27FC236}">
                  <a16:creationId xmlns:a16="http://schemas.microsoft.com/office/drawing/2014/main" id="{00000000-0008-0000-0400-0000A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339" name="Check Box 1195" hidden="1">
              <a:extLst>
                <a:ext uri="{63B3BB69-23CF-44E3-9099-C40C66FF867C}">
                  <a14:compatExt spid="_x0000_s7339"/>
                </a:ext>
                <a:ext uri="{FF2B5EF4-FFF2-40B4-BE49-F238E27FC236}">
                  <a16:creationId xmlns:a16="http://schemas.microsoft.com/office/drawing/2014/main" id="{00000000-0008-0000-0400-0000A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340" name="Check Box 1196" hidden="1">
              <a:extLst>
                <a:ext uri="{63B3BB69-23CF-44E3-9099-C40C66FF867C}">
                  <a14:compatExt spid="_x0000_s7340"/>
                </a:ext>
                <a:ext uri="{FF2B5EF4-FFF2-40B4-BE49-F238E27FC236}">
                  <a16:creationId xmlns:a16="http://schemas.microsoft.com/office/drawing/2014/main" id="{00000000-0008-0000-0400-0000A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341" name="Check Box 1197" hidden="1">
              <a:extLst>
                <a:ext uri="{63B3BB69-23CF-44E3-9099-C40C66FF867C}">
                  <a14:compatExt spid="_x0000_s7341"/>
                </a:ext>
                <a:ext uri="{FF2B5EF4-FFF2-40B4-BE49-F238E27FC236}">
                  <a16:creationId xmlns:a16="http://schemas.microsoft.com/office/drawing/2014/main" id="{00000000-0008-0000-0400-0000A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342" name="Check Box 1198" hidden="1">
              <a:extLst>
                <a:ext uri="{63B3BB69-23CF-44E3-9099-C40C66FF867C}">
                  <a14:compatExt spid="_x0000_s7342"/>
                </a:ext>
                <a:ext uri="{FF2B5EF4-FFF2-40B4-BE49-F238E27FC236}">
                  <a16:creationId xmlns:a16="http://schemas.microsoft.com/office/drawing/2014/main" id="{00000000-0008-0000-0400-0000A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343" name="Check Box 1199" hidden="1">
              <a:extLst>
                <a:ext uri="{63B3BB69-23CF-44E3-9099-C40C66FF867C}">
                  <a14:compatExt spid="_x0000_s7343"/>
                </a:ext>
                <a:ext uri="{FF2B5EF4-FFF2-40B4-BE49-F238E27FC236}">
                  <a16:creationId xmlns:a16="http://schemas.microsoft.com/office/drawing/2014/main" id="{00000000-0008-0000-0400-0000A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344" name="Check Box 1200" hidden="1">
              <a:extLst>
                <a:ext uri="{63B3BB69-23CF-44E3-9099-C40C66FF867C}">
                  <a14:compatExt spid="_x0000_s7344"/>
                </a:ext>
                <a:ext uri="{FF2B5EF4-FFF2-40B4-BE49-F238E27FC236}">
                  <a16:creationId xmlns:a16="http://schemas.microsoft.com/office/drawing/2014/main" id="{00000000-0008-0000-0400-0000B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345" name="Check Box 1201" hidden="1">
              <a:extLst>
                <a:ext uri="{63B3BB69-23CF-44E3-9099-C40C66FF867C}">
                  <a14:compatExt spid="_x0000_s7345"/>
                </a:ext>
                <a:ext uri="{FF2B5EF4-FFF2-40B4-BE49-F238E27FC236}">
                  <a16:creationId xmlns:a16="http://schemas.microsoft.com/office/drawing/2014/main" id="{00000000-0008-0000-0400-0000B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346" name="Check Box 1202" hidden="1">
              <a:extLst>
                <a:ext uri="{63B3BB69-23CF-44E3-9099-C40C66FF867C}">
                  <a14:compatExt spid="_x0000_s7346"/>
                </a:ext>
                <a:ext uri="{FF2B5EF4-FFF2-40B4-BE49-F238E27FC236}">
                  <a16:creationId xmlns:a16="http://schemas.microsoft.com/office/drawing/2014/main" id="{00000000-0008-0000-0400-0000B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347" name="Check Box 1203" hidden="1">
              <a:extLst>
                <a:ext uri="{63B3BB69-23CF-44E3-9099-C40C66FF867C}">
                  <a14:compatExt spid="_x0000_s7347"/>
                </a:ext>
                <a:ext uri="{FF2B5EF4-FFF2-40B4-BE49-F238E27FC236}">
                  <a16:creationId xmlns:a16="http://schemas.microsoft.com/office/drawing/2014/main" id="{00000000-0008-0000-0400-0000B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348" name="Check Box 1204" hidden="1">
              <a:extLst>
                <a:ext uri="{63B3BB69-23CF-44E3-9099-C40C66FF867C}">
                  <a14:compatExt spid="_x0000_s7348"/>
                </a:ext>
                <a:ext uri="{FF2B5EF4-FFF2-40B4-BE49-F238E27FC236}">
                  <a16:creationId xmlns:a16="http://schemas.microsoft.com/office/drawing/2014/main" id="{00000000-0008-0000-0400-0000B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349" name="Check Box 1205" hidden="1">
              <a:extLst>
                <a:ext uri="{63B3BB69-23CF-44E3-9099-C40C66FF867C}">
                  <a14:compatExt spid="_x0000_s7349"/>
                </a:ext>
                <a:ext uri="{FF2B5EF4-FFF2-40B4-BE49-F238E27FC236}">
                  <a16:creationId xmlns:a16="http://schemas.microsoft.com/office/drawing/2014/main" id="{00000000-0008-0000-0400-0000B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350" name="Check Box 1206" hidden="1">
              <a:extLst>
                <a:ext uri="{63B3BB69-23CF-44E3-9099-C40C66FF867C}">
                  <a14:compatExt spid="_x0000_s7350"/>
                </a:ext>
                <a:ext uri="{FF2B5EF4-FFF2-40B4-BE49-F238E27FC236}">
                  <a16:creationId xmlns:a16="http://schemas.microsoft.com/office/drawing/2014/main" id="{00000000-0008-0000-0400-0000B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351" name="Check Box 1207" hidden="1">
              <a:extLst>
                <a:ext uri="{63B3BB69-23CF-44E3-9099-C40C66FF867C}">
                  <a14:compatExt spid="_x0000_s7351"/>
                </a:ext>
                <a:ext uri="{FF2B5EF4-FFF2-40B4-BE49-F238E27FC236}">
                  <a16:creationId xmlns:a16="http://schemas.microsoft.com/office/drawing/2014/main" id="{00000000-0008-0000-0400-0000B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352" name="Check Box 1208" hidden="1">
              <a:extLst>
                <a:ext uri="{63B3BB69-23CF-44E3-9099-C40C66FF867C}">
                  <a14:compatExt spid="_x0000_s7352"/>
                </a:ext>
                <a:ext uri="{FF2B5EF4-FFF2-40B4-BE49-F238E27FC236}">
                  <a16:creationId xmlns:a16="http://schemas.microsoft.com/office/drawing/2014/main" id="{00000000-0008-0000-0400-0000B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353" name="Check Box 1209" hidden="1">
              <a:extLst>
                <a:ext uri="{63B3BB69-23CF-44E3-9099-C40C66FF867C}">
                  <a14:compatExt spid="_x0000_s7353"/>
                </a:ext>
                <a:ext uri="{FF2B5EF4-FFF2-40B4-BE49-F238E27FC236}">
                  <a16:creationId xmlns:a16="http://schemas.microsoft.com/office/drawing/2014/main" id="{00000000-0008-0000-0400-0000B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354" name="Check Box 1210" hidden="1">
              <a:extLst>
                <a:ext uri="{63B3BB69-23CF-44E3-9099-C40C66FF867C}">
                  <a14:compatExt spid="_x0000_s7354"/>
                </a:ext>
                <a:ext uri="{FF2B5EF4-FFF2-40B4-BE49-F238E27FC236}">
                  <a16:creationId xmlns:a16="http://schemas.microsoft.com/office/drawing/2014/main" id="{00000000-0008-0000-0400-0000B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355" name="Check Box 1211" hidden="1">
              <a:extLst>
                <a:ext uri="{63B3BB69-23CF-44E3-9099-C40C66FF867C}">
                  <a14:compatExt spid="_x0000_s7355"/>
                </a:ext>
                <a:ext uri="{FF2B5EF4-FFF2-40B4-BE49-F238E27FC236}">
                  <a16:creationId xmlns:a16="http://schemas.microsoft.com/office/drawing/2014/main" id="{00000000-0008-0000-0400-0000B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356" name="Check Box 1212" hidden="1">
              <a:extLst>
                <a:ext uri="{63B3BB69-23CF-44E3-9099-C40C66FF867C}">
                  <a14:compatExt spid="_x0000_s7356"/>
                </a:ext>
                <a:ext uri="{FF2B5EF4-FFF2-40B4-BE49-F238E27FC236}">
                  <a16:creationId xmlns:a16="http://schemas.microsoft.com/office/drawing/2014/main" id="{00000000-0008-0000-0400-0000B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357" name="Check Box 1213" hidden="1">
              <a:extLst>
                <a:ext uri="{63B3BB69-23CF-44E3-9099-C40C66FF867C}">
                  <a14:compatExt spid="_x0000_s7357"/>
                </a:ext>
                <a:ext uri="{FF2B5EF4-FFF2-40B4-BE49-F238E27FC236}">
                  <a16:creationId xmlns:a16="http://schemas.microsoft.com/office/drawing/2014/main" id="{00000000-0008-0000-0400-0000B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358" name="Check Box 1214" hidden="1">
              <a:extLst>
                <a:ext uri="{63B3BB69-23CF-44E3-9099-C40C66FF867C}">
                  <a14:compatExt spid="_x0000_s7358"/>
                </a:ext>
                <a:ext uri="{FF2B5EF4-FFF2-40B4-BE49-F238E27FC236}">
                  <a16:creationId xmlns:a16="http://schemas.microsoft.com/office/drawing/2014/main" id="{00000000-0008-0000-0400-0000B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359" name="Check Box 1215" hidden="1">
              <a:extLst>
                <a:ext uri="{63B3BB69-23CF-44E3-9099-C40C66FF867C}">
                  <a14:compatExt spid="_x0000_s7359"/>
                </a:ext>
                <a:ext uri="{FF2B5EF4-FFF2-40B4-BE49-F238E27FC236}">
                  <a16:creationId xmlns:a16="http://schemas.microsoft.com/office/drawing/2014/main" id="{00000000-0008-0000-0400-0000B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360" name="Check Box 1216" hidden="1">
              <a:extLst>
                <a:ext uri="{63B3BB69-23CF-44E3-9099-C40C66FF867C}">
                  <a14:compatExt spid="_x0000_s7360"/>
                </a:ext>
                <a:ext uri="{FF2B5EF4-FFF2-40B4-BE49-F238E27FC236}">
                  <a16:creationId xmlns:a16="http://schemas.microsoft.com/office/drawing/2014/main" id="{00000000-0008-0000-0400-0000C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361" name="Check Box 1217" hidden="1">
              <a:extLst>
                <a:ext uri="{63B3BB69-23CF-44E3-9099-C40C66FF867C}">
                  <a14:compatExt spid="_x0000_s7361"/>
                </a:ext>
                <a:ext uri="{FF2B5EF4-FFF2-40B4-BE49-F238E27FC236}">
                  <a16:creationId xmlns:a16="http://schemas.microsoft.com/office/drawing/2014/main" id="{00000000-0008-0000-0400-0000C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362" name="Check Box 1218" hidden="1">
              <a:extLst>
                <a:ext uri="{63B3BB69-23CF-44E3-9099-C40C66FF867C}">
                  <a14:compatExt spid="_x0000_s7362"/>
                </a:ext>
                <a:ext uri="{FF2B5EF4-FFF2-40B4-BE49-F238E27FC236}">
                  <a16:creationId xmlns:a16="http://schemas.microsoft.com/office/drawing/2014/main" id="{00000000-0008-0000-0400-0000C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363" name="Check Box 1219" hidden="1">
              <a:extLst>
                <a:ext uri="{63B3BB69-23CF-44E3-9099-C40C66FF867C}">
                  <a14:compatExt spid="_x0000_s7363"/>
                </a:ext>
                <a:ext uri="{FF2B5EF4-FFF2-40B4-BE49-F238E27FC236}">
                  <a16:creationId xmlns:a16="http://schemas.microsoft.com/office/drawing/2014/main" id="{00000000-0008-0000-0400-0000C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364" name="Check Box 1220" hidden="1">
              <a:extLst>
                <a:ext uri="{63B3BB69-23CF-44E3-9099-C40C66FF867C}">
                  <a14:compatExt spid="_x0000_s7364"/>
                </a:ext>
                <a:ext uri="{FF2B5EF4-FFF2-40B4-BE49-F238E27FC236}">
                  <a16:creationId xmlns:a16="http://schemas.microsoft.com/office/drawing/2014/main" id="{00000000-0008-0000-0400-0000C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365" name="Check Box 1221" hidden="1">
              <a:extLst>
                <a:ext uri="{63B3BB69-23CF-44E3-9099-C40C66FF867C}">
                  <a14:compatExt spid="_x0000_s7365"/>
                </a:ext>
                <a:ext uri="{FF2B5EF4-FFF2-40B4-BE49-F238E27FC236}">
                  <a16:creationId xmlns:a16="http://schemas.microsoft.com/office/drawing/2014/main" id="{00000000-0008-0000-0400-0000C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366" name="Check Box 1222" hidden="1">
              <a:extLst>
                <a:ext uri="{63B3BB69-23CF-44E3-9099-C40C66FF867C}">
                  <a14:compatExt spid="_x0000_s7366"/>
                </a:ext>
                <a:ext uri="{FF2B5EF4-FFF2-40B4-BE49-F238E27FC236}">
                  <a16:creationId xmlns:a16="http://schemas.microsoft.com/office/drawing/2014/main" id="{00000000-0008-0000-0400-0000C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367" name="Check Box 1223" hidden="1">
              <a:extLst>
                <a:ext uri="{63B3BB69-23CF-44E3-9099-C40C66FF867C}">
                  <a14:compatExt spid="_x0000_s7367"/>
                </a:ext>
                <a:ext uri="{FF2B5EF4-FFF2-40B4-BE49-F238E27FC236}">
                  <a16:creationId xmlns:a16="http://schemas.microsoft.com/office/drawing/2014/main" id="{00000000-0008-0000-0400-0000C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368" name="Check Box 1224" hidden="1">
              <a:extLst>
                <a:ext uri="{63B3BB69-23CF-44E3-9099-C40C66FF867C}">
                  <a14:compatExt spid="_x0000_s7368"/>
                </a:ext>
                <a:ext uri="{FF2B5EF4-FFF2-40B4-BE49-F238E27FC236}">
                  <a16:creationId xmlns:a16="http://schemas.microsoft.com/office/drawing/2014/main" id="{00000000-0008-0000-0400-0000C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369" name="Check Box 1225" hidden="1">
              <a:extLst>
                <a:ext uri="{63B3BB69-23CF-44E3-9099-C40C66FF867C}">
                  <a14:compatExt spid="_x0000_s7369"/>
                </a:ext>
                <a:ext uri="{FF2B5EF4-FFF2-40B4-BE49-F238E27FC236}">
                  <a16:creationId xmlns:a16="http://schemas.microsoft.com/office/drawing/2014/main" id="{00000000-0008-0000-0400-0000C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370" name="Check Box 1226" hidden="1">
              <a:extLst>
                <a:ext uri="{63B3BB69-23CF-44E3-9099-C40C66FF867C}">
                  <a14:compatExt spid="_x0000_s7370"/>
                </a:ext>
                <a:ext uri="{FF2B5EF4-FFF2-40B4-BE49-F238E27FC236}">
                  <a16:creationId xmlns:a16="http://schemas.microsoft.com/office/drawing/2014/main" id="{00000000-0008-0000-0400-0000C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155</xdr:row>
          <xdr:rowOff>0</xdr:rowOff>
        </xdr:from>
        <xdr:to>
          <xdr:col>7</xdr:col>
          <xdr:colOff>295275</xdr:colOff>
          <xdr:row>156</xdr:row>
          <xdr:rowOff>0</xdr:rowOff>
        </xdr:to>
        <xdr:sp macro="" textlink="">
          <xdr:nvSpPr>
            <xdr:cNvPr id="7371" name="Check Box 1227" hidden="1">
              <a:extLst>
                <a:ext uri="{63B3BB69-23CF-44E3-9099-C40C66FF867C}">
                  <a14:compatExt spid="_x0000_s7371"/>
                </a:ext>
                <a:ext uri="{FF2B5EF4-FFF2-40B4-BE49-F238E27FC236}">
                  <a16:creationId xmlns:a16="http://schemas.microsoft.com/office/drawing/2014/main" id="{00000000-0008-0000-0400-0000C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372" name="Check Box 1228" hidden="1">
              <a:extLst>
                <a:ext uri="{63B3BB69-23CF-44E3-9099-C40C66FF867C}">
                  <a14:compatExt spid="_x0000_s7372"/>
                </a:ext>
                <a:ext uri="{FF2B5EF4-FFF2-40B4-BE49-F238E27FC236}">
                  <a16:creationId xmlns:a16="http://schemas.microsoft.com/office/drawing/2014/main" id="{00000000-0008-0000-0400-0000C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373" name="Check Box 1229" hidden="1">
              <a:extLst>
                <a:ext uri="{63B3BB69-23CF-44E3-9099-C40C66FF867C}">
                  <a14:compatExt spid="_x0000_s7373"/>
                </a:ext>
                <a:ext uri="{FF2B5EF4-FFF2-40B4-BE49-F238E27FC236}">
                  <a16:creationId xmlns:a16="http://schemas.microsoft.com/office/drawing/2014/main" id="{00000000-0008-0000-0400-0000C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374" name="Check Box 1230" hidden="1">
              <a:extLst>
                <a:ext uri="{63B3BB69-23CF-44E3-9099-C40C66FF867C}">
                  <a14:compatExt spid="_x0000_s7374"/>
                </a:ext>
                <a:ext uri="{FF2B5EF4-FFF2-40B4-BE49-F238E27FC236}">
                  <a16:creationId xmlns:a16="http://schemas.microsoft.com/office/drawing/2014/main" id="{00000000-0008-0000-0400-0000C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376" name="Check Box 1232" hidden="1">
              <a:extLst>
                <a:ext uri="{63B3BB69-23CF-44E3-9099-C40C66FF867C}">
                  <a14:compatExt spid="_x0000_s7376"/>
                </a:ext>
                <a:ext uri="{FF2B5EF4-FFF2-40B4-BE49-F238E27FC236}">
                  <a16:creationId xmlns:a16="http://schemas.microsoft.com/office/drawing/2014/main" id="{00000000-0008-0000-0400-0000D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377" name="Check Box 1233" hidden="1">
              <a:extLst>
                <a:ext uri="{63B3BB69-23CF-44E3-9099-C40C66FF867C}">
                  <a14:compatExt spid="_x0000_s7377"/>
                </a:ext>
                <a:ext uri="{FF2B5EF4-FFF2-40B4-BE49-F238E27FC236}">
                  <a16:creationId xmlns:a16="http://schemas.microsoft.com/office/drawing/2014/main" id="{00000000-0008-0000-0400-0000D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378" name="Check Box 1234" hidden="1">
              <a:extLst>
                <a:ext uri="{63B3BB69-23CF-44E3-9099-C40C66FF867C}">
                  <a14:compatExt spid="_x0000_s7378"/>
                </a:ext>
                <a:ext uri="{FF2B5EF4-FFF2-40B4-BE49-F238E27FC236}">
                  <a16:creationId xmlns:a16="http://schemas.microsoft.com/office/drawing/2014/main" id="{00000000-0008-0000-0400-0000D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380" name="Check Box 1236" hidden="1">
              <a:extLst>
                <a:ext uri="{63B3BB69-23CF-44E3-9099-C40C66FF867C}">
                  <a14:compatExt spid="_x0000_s7380"/>
                </a:ext>
                <a:ext uri="{FF2B5EF4-FFF2-40B4-BE49-F238E27FC236}">
                  <a16:creationId xmlns:a16="http://schemas.microsoft.com/office/drawing/2014/main" id="{00000000-0008-0000-0400-0000D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381" name="Check Box 1237" hidden="1">
              <a:extLst>
                <a:ext uri="{63B3BB69-23CF-44E3-9099-C40C66FF867C}">
                  <a14:compatExt spid="_x0000_s7381"/>
                </a:ext>
                <a:ext uri="{FF2B5EF4-FFF2-40B4-BE49-F238E27FC236}">
                  <a16:creationId xmlns:a16="http://schemas.microsoft.com/office/drawing/2014/main" id="{00000000-0008-0000-0400-0000D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382" name="Check Box 1238" hidden="1">
              <a:extLst>
                <a:ext uri="{63B3BB69-23CF-44E3-9099-C40C66FF867C}">
                  <a14:compatExt spid="_x0000_s7382"/>
                </a:ext>
                <a:ext uri="{FF2B5EF4-FFF2-40B4-BE49-F238E27FC236}">
                  <a16:creationId xmlns:a16="http://schemas.microsoft.com/office/drawing/2014/main" id="{00000000-0008-0000-0400-0000D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384" name="Check Box 1240" hidden="1">
              <a:extLst>
                <a:ext uri="{63B3BB69-23CF-44E3-9099-C40C66FF867C}">
                  <a14:compatExt spid="_x0000_s7384"/>
                </a:ext>
                <a:ext uri="{FF2B5EF4-FFF2-40B4-BE49-F238E27FC236}">
                  <a16:creationId xmlns:a16="http://schemas.microsoft.com/office/drawing/2014/main" id="{00000000-0008-0000-0400-0000D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385" name="Check Box 1241" hidden="1">
              <a:extLst>
                <a:ext uri="{63B3BB69-23CF-44E3-9099-C40C66FF867C}">
                  <a14:compatExt spid="_x0000_s7385"/>
                </a:ext>
                <a:ext uri="{FF2B5EF4-FFF2-40B4-BE49-F238E27FC236}">
                  <a16:creationId xmlns:a16="http://schemas.microsoft.com/office/drawing/2014/main" id="{00000000-0008-0000-0400-0000D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386" name="Check Box 1242" hidden="1">
              <a:extLst>
                <a:ext uri="{63B3BB69-23CF-44E3-9099-C40C66FF867C}">
                  <a14:compatExt spid="_x0000_s7386"/>
                </a:ext>
                <a:ext uri="{FF2B5EF4-FFF2-40B4-BE49-F238E27FC236}">
                  <a16:creationId xmlns:a16="http://schemas.microsoft.com/office/drawing/2014/main" id="{00000000-0008-0000-0400-0000D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388" name="Check Box 1244" hidden="1">
              <a:extLst>
                <a:ext uri="{63B3BB69-23CF-44E3-9099-C40C66FF867C}">
                  <a14:compatExt spid="_x0000_s7388"/>
                </a:ext>
                <a:ext uri="{FF2B5EF4-FFF2-40B4-BE49-F238E27FC236}">
                  <a16:creationId xmlns:a16="http://schemas.microsoft.com/office/drawing/2014/main" id="{00000000-0008-0000-0400-0000D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389" name="Check Box 1245" hidden="1">
              <a:extLst>
                <a:ext uri="{63B3BB69-23CF-44E3-9099-C40C66FF867C}">
                  <a14:compatExt spid="_x0000_s7389"/>
                </a:ext>
                <a:ext uri="{FF2B5EF4-FFF2-40B4-BE49-F238E27FC236}">
                  <a16:creationId xmlns:a16="http://schemas.microsoft.com/office/drawing/2014/main" id="{00000000-0008-0000-0400-0000D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390" name="Check Box 1246" hidden="1">
              <a:extLst>
                <a:ext uri="{63B3BB69-23CF-44E3-9099-C40C66FF867C}">
                  <a14:compatExt spid="_x0000_s7390"/>
                </a:ext>
                <a:ext uri="{FF2B5EF4-FFF2-40B4-BE49-F238E27FC236}">
                  <a16:creationId xmlns:a16="http://schemas.microsoft.com/office/drawing/2014/main" id="{00000000-0008-0000-0400-0000D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155</xdr:row>
          <xdr:rowOff>0</xdr:rowOff>
        </xdr:from>
        <xdr:to>
          <xdr:col>7</xdr:col>
          <xdr:colOff>809625</xdr:colOff>
          <xdr:row>156</xdr:row>
          <xdr:rowOff>0</xdr:rowOff>
        </xdr:to>
        <xdr:sp macro="" textlink="">
          <xdr:nvSpPr>
            <xdr:cNvPr id="7392" name="Check Box 1248" hidden="1">
              <a:extLst>
                <a:ext uri="{63B3BB69-23CF-44E3-9099-C40C66FF867C}">
                  <a14:compatExt spid="_x0000_s7392"/>
                </a:ext>
                <a:ext uri="{FF2B5EF4-FFF2-40B4-BE49-F238E27FC236}">
                  <a16:creationId xmlns:a16="http://schemas.microsoft.com/office/drawing/2014/main" id="{00000000-0008-0000-0400-0000E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155</xdr:row>
          <xdr:rowOff>0</xdr:rowOff>
        </xdr:from>
        <xdr:to>
          <xdr:col>8</xdr:col>
          <xdr:colOff>790575</xdr:colOff>
          <xdr:row>156</xdr:row>
          <xdr:rowOff>0</xdr:rowOff>
        </xdr:to>
        <xdr:sp macro="" textlink="">
          <xdr:nvSpPr>
            <xdr:cNvPr id="7393" name="Check Box 1249" hidden="1">
              <a:extLst>
                <a:ext uri="{63B3BB69-23CF-44E3-9099-C40C66FF867C}">
                  <a14:compatExt spid="_x0000_s7393"/>
                </a:ext>
                <a:ext uri="{FF2B5EF4-FFF2-40B4-BE49-F238E27FC236}">
                  <a16:creationId xmlns:a16="http://schemas.microsoft.com/office/drawing/2014/main" id="{00000000-0008-0000-0400-0000E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394" name="Check Box 1250" hidden="1">
              <a:extLst>
                <a:ext uri="{63B3BB69-23CF-44E3-9099-C40C66FF867C}">
                  <a14:compatExt spid="_x0000_s7394"/>
                </a:ext>
                <a:ext uri="{FF2B5EF4-FFF2-40B4-BE49-F238E27FC236}">
                  <a16:creationId xmlns:a16="http://schemas.microsoft.com/office/drawing/2014/main" id="{00000000-0008-0000-0400-0000E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155</xdr:row>
          <xdr:rowOff>0</xdr:rowOff>
        </xdr:from>
        <xdr:to>
          <xdr:col>9</xdr:col>
          <xdr:colOff>828675</xdr:colOff>
          <xdr:row>156</xdr:row>
          <xdr:rowOff>0</xdr:rowOff>
        </xdr:to>
        <xdr:sp macro="" textlink="">
          <xdr:nvSpPr>
            <xdr:cNvPr id="7398" name="Check Box 1254" hidden="1">
              <a:extLst>
                <a:ext uri="{63B3BB69-23CF-44E3-9099-C40C66FF867C}">
                  <a14:compatExt spid="_x0000_s7398"/>
                </a:ext>
                <a:ext uri="{FF2B5EF4-FFF2-40B4-BE49-F238E27FC236}">
                  <a16:creationId xmlns:a16="http://schemas.microsoft.com/office/drawing/2014/main" id="{00000000-0008-0000-0400-0000E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952500</xdr:colOff>
          <xdr:row>5</xdr:row>
          <xdr:rowOff>28575</xdr:rowOff>
        </xdr:from>
        <xdr:to>
          <xdr:col>3</xdr:col>
          <xdr:colOff>619125</xdr:colOff>
          <xdr:row>6</xdr:row>
          <xdr:rowOff>85725</xdr:rowOff>
        </xdr:to>
        <xdr:sp macro="" textlink="">
          <xdr:nvSpPr>
            <xdr:cNvPr id="7425" name="TextBox1" descr="Clear All Checkboxes at beginning of a new month with Ctrl+Shift+D" hidden="1">
              <a:extLst>
                <a:ext uri="{63B3BB69-23CF-44E3-9099-C40C66FF867C}">
                  <a14:compatExt spid="_x0000_s7425"/>
                </a:ext>
                <a:ext uri="{FF2B5EF4-FFF2-40B4-BE49-F238E27FC236}">
                  <a16:creationId xmlns:a16="http://schemas.microsoft.com/office/drawing/2014/main" id="{00000000-0008-0000-0400-000001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27</xdr:col>
      <xdr:colOff>504825</xdr:colOff>
      <xdr:row>12</xdr:row>
      <xdr:rowOff>76200</xdr:rowOff>
    </xdr:from>
    <xdr:to>
      <xdr:col>33</xdr:col>
      <xdr:colOff>238125</xdr:colOff>
      <xdr:row>23</xdr:row>
      <xdr:rowOff>85725</xdr:rowOff>
    </xdr:to>
    <xdr:pic>
      <xdr:nvPicPr>
        <xdr:cNvPr id="1265" name="Picture 1264">
          <a:extLst>
            <a:ext uri="{FF2B5EF4-FFF2-40B4-BE49-F238E27FC236}">
              <a16:creationId xmlns:a16="http://schemas.microsoft.com/office/drawing/2014/main" id="{00000000-0008-0000-0400-0000F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050750" y="2076450"/>
          <a:ext cx="3390900" cy="3362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53</xdr:row>
          <xdr:rowOff>0</xdr:rowOff>
        </xdr:from>
        <xdr:to>
          <xdr:col>7</xdr:col>
          <xdr:colOff>809625</xdr:colOff>
          <xdr:row>54</xdr:row>
          <xdr:rowOff>0</xdr:rowOff>
        </xdr:to>
        <xdr:sp macro="" textlink="">
          <xdr:nvSpPr>
            <xdr:cNvPr id="7427" name="Check Box 1283" hidden="1">
              <a:extLst>
                <a:ext uri="{63B3BB69-23CF-44E3-9099-C40C66FF867C}">
                  <a14:compatExt spid="_x0000_s7427"/>
                </a:ext>
                <a:ext uri="{FF2B5EF4-FFF2-40B4-BE49-F238E27FC236}">
                  <a16:creationId xmlns:a16="http://schemas.microsoft.com/office/drawing/2014/main" id="{00000000-0008-0000-0400-000003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53</xdr:row>
          <xdr:rowOff>0</xdr:rowOff>
        </xdr:from>
        <xdr:to>
          <xdr:col>8</xdr:col>
          <xdr:colOff>790575</xdr:colOff>
          <xdr:row>54</xdr:row>
          <xdr:rowOff>0</xdr:rowOff>
        </xdr:to>
        <xdr:sp macro="" textlink="">
          <xdr:nvSpPr>
            <xdr:cNvPr id="7428" name="Check Box 1284" hidden="1">
              <a:extLst>
                <a:ext uri="{63B3BB69-23CF-44E3-9099-C40C66FF867C}">
                  <a14:compatExt spid="_x0000_s7428"/>
                </a:ext>
                <a:ext uri="{FF2B5EF4-FFF2-40B4-BE49-F238E27FC236}">
                  <a16:creationId xmlns:a16="http://schemas.microsoft.com/office/drawing/2014/main" id="{00000000-0008-0000-0400-00000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53</xdr:row>
          <xdr:rowOff>0</xdr:rowOff>
        </xdr:from>
        <xdr:to>
          <xdr:col>9</xdr:col>
          <xdr:colOff>828675</xdr:colOff>
          <xdr:row>54</xdr:row>
          <xdr:rowOff>0</xdr:rowOff>
        </xdr:to>
        <xdr:sp macro="" textlink="">
          <xdr:nvSpPr>
            <xdr:cNvPr id="7429" name="Check Box 1285" hidden="1">
              <a:extLst>
                <a:ext uri="{63B3BB69-23CF-44E3-9099-C40C66FF867C}">
                  <a14:compatExt spid="_x0000_s7429"/>
                </a:ext>
                <a:ext uri="{FF2B5EF4-FFF2-40B4-BE49-F238E27FC236}">
                  <a16:creationId xmlns:a16="http://schemas.microsoft.com/office/drawing/2014/main" id="{00000000-0008-0000-0400-000005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45</xdr:row>
          <xdr:rowOff>0</xdr:rowOff>
        </xdr:from>
        <xdr:to>
          <xdr:col>7</xdr:col>
          <xdr:colOff>809625</xdr:colOff>
          <xdr:row>46</xdr:row>
          <xdr:rowOff>0</xdr:rowOff>
        </xdr:to>
        <xdr:sp macro="" textlink="">
          <xdr:nvSpPr>
            <xdr:cNvPr id="7431" name="Check Box 1287" hidden="1">
              <a:extLst>
                <a:ext uri="{63B3BB69-23CF-44E3-9099-C40C66FF867C}">
                  <a14:compatExt spid="_x0000_s7431"/>
                </a:ext>
                <a:ext uri="{FF2B5EF4-FFF2-40B4-BE49-F238E27FC236}">
                  <a16:creationId xmlns:a16="http://schemas.microsoft.com/office/drawing/2014/main" id="{00000000-0008-0000-0400-000007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45</xdr:row>
          <xdr:rowOff>0</xdr:rowOff>
        </xdr:from>
        <xdr:to>
          <xdr:col>8</xdr:col>
          <xdr:colOff>790575</xdr:colOff>
          <xdr:row>46</xdr:row>
          <xdr:rowOff>0</xdr:rowOff>
        </xdr:to>
        <xdr:sp macro="" textlink="">
          <xdr:nvSpPr>
            <xdr:cNvPr id="7432" name="Check Box 1288" hidden="1">
              <a:extLst>
                <a:ext uri="{63B3BB69-23CF-44E3-9099-C40C66FF867C}">
                  <a14:compatExt spid="_x0000_s7432"/>
                </a:ext>
                <a:ext uri="{FF2B5EF4-FFF2-40B4-BE49-F238E27FC236}">
                  <a16:creationId xmlns:a16="http://schemas.microsoft.com/office/drawing/2014/main" id="{00000000-0008-0000-0400-000008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45</xdr:row>
          <xdr:rowOff>0</xdr:rowOff>
        </xdr:from>
        <xdr:to>
          <xdr:col>9</xdr:col>
          <xdr:colOff>828675</xdr:colOff>
          <xdr:row>46</xdr:row>
          <xdr:rowOff>0</xdr:rowOff>
        </xdr:to>
        <xdr:sp macro="" textlink="">
          <xdr:nvSpPr>
            <xdr:cNvPr id="7433" name="Check Box 1289" hidden="1">
              <a:extLst>
                <a:ext uri="{63B3BB69-23CF-44E3-9099-C40C66FF867C}">
                  <a14:compatExt spid="_x0000_s7433"/>
                </a:ext>
                <a:ext uri="{FF2B5EF4-FFF2-40B4-BE49-F238E27FC236}">
                  <a16:creationId xmlns:a16="http://schemas.microsoft.com/office/drawing/2014/main" id="{00000000-0008-0000-0400-00000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1809751</xdr:colOff>
      <xdr:row>1</xdr:row>
      <xdr:rowOff>85725</xdr:rowOff>
    </xdr:from>
    <xdr:to>
      <xdr:col>2</xdr:col>
      <xdr:colOff>1666876</xdr:colOff>
      <xdr:row>3</xdr:row>
      <xdr:rowOff>42386</xdr:rowOff>
    </xdr:to>
    <xdr:pic>
      <xdr:nvPicPr>
        <xdr:cNvPr id="984" name="Picture 983">
          <a:extLst>
            <a:ext uri="{FF2B5EF4-FFF2-40B4-BE49-F238E27FC236}">
              <a16:creationId xmlns:a16="http://schemas.microsoft.com/office/drawing/2014/main" id="{00000000-0008-0000-04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19326" y="285750"/>
          <a:ext cx="2038350" cy="35671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89</xdr:row>
          <xdr:rowOff>0</xdr:rowOff>
        </xdr:from>
        <xdr:to>
          <xdr:col>7</xdr:col>
          <xdr:colOff>809625</xdr:colOff>
          <xdr:row>90</xdr:row>
          <xdr:rowOff>0</xdr:rowOff>
        </xdr:to>
        <xdr:sp macro="" textlink="">
          <xdr:nvSpPr>
            <xdr:cNvPr id="7434" name="Check Box 1290" hidden="1">
              <a:extLst>
                <a:ext uri="{63B3BB69-23CF-44E3-9099-C40C66FF867C}">
                  <a14:compatExt spid="_x0000_s7434"/>
                </a:ext>
                <a:ext uri="{FF2B5EF4-FFF2-40B4-BE49-F238E27FC236}">
                  <a16:creationId xmlns:a16="http://schemas.microsoft.com/office/drawing/2014/main" id="{00000000-0008-0000-0400-00000A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90</xdr:row>
          <xdr:rowOff>0</xdr:rowOff>
        </xdr:from>
        <xdr:to>
          <xdr:col>7</xdr:col>
          <xdr:colOff>809625</xdr:colOff>
          <xdr:row>91</xdr:row>
          <xdr:rowOff>0</xdr:rowOff>
        </xdr:to>
        <xdr:sp macro="" textlink="">
          <xdr:nvSpPr>
            <xdr:cNvPr id="7435" name="Check Box 1291" hidden="1">
              <a:extLst>
                <a:ext uri="{63B3BB69-23CF-44E3-9099-C40C66FF867C}">
                  <a14:compatExt spid="_x0000_s7435"/>
                </a:ext>
                <a:ext uri="{FF2B5EF4-FFF2-40B4-BE49-F238E27FC236}">
                  <a16:creationId xmlns:a16="http://schemas.microsoft.com/office/drawing/2014/main" id="{00000000-0008-0000-0400-00000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91</xdr:row>
          <xdr:rowOff>0</xdr:rowOff>
        </xdr:from>
        <xdr:to>
          <xdr:col>7</xdr:col>
          <xdr:colOff>809625</xdr:colOff>
          <xdr:row>92</xdr:row>
          <xdr:rowOff>0</xdr:rowOff>
        </xdr:to>
        <xdr:sp macro="" textlink="">
          <xdr:nvSpPr>
            <xdr:cNvPr id="7436" name="Check Box 1292" hidden="1">
              <a:extLst>
                <a:ext uri="{63B3BB69-23CF-44E3-9099-C40C66FF867C}">
                  <a14:compatExt spid="_x0000_s7436"/>
                </a:ext>
                <a:ext uri="{FF2B5EF4-FFF2-40B4-BE49-F238E27FC236}">
                  <a16:creationId xmlns:a16="http://schemas.microsoft.com/office/drawing/2014/main" id="{00000000-0008-0000-0400-00000C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89</xdr:row>
          <xdr:rowOff>0</xdr:rowOff>
        </xdr:from>
        <xdr:to>
          <xdr:col>8</xdr:col>
          <xdr:colOff>790575</xdr:colOff>
          <xdr:row>90</xdr:row>
          <xdr:rowOff>0</xdr:rowOff>
        </xdr:to>
        <xdr:sp macro="" textlink="">
          <xdr:nvSpPr>
            <xdr:cNvPr id="7437" name="Check Box 1293" hidden="1">
              <a:extLst>
                <a:ext uri="{63B3BB69-23CF-44E3-9099-C40C66FF867C}">
                  <a14:compatExt spid="_x0000_s7437"/>
                </a:ext>
                <a:ext uri="{FF2B5EF4-FFF2-40B4-BE49-F238E27FC236}">
                  <a16:creationId xmlns:a16="http://schemas.microsoft.com/office/drawing/2014/main" id="{00000000-0008-0000-0400-00000D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90</xdr:row>
          <xdr:rowOff>0</xdr:rowOff>
        </xdr:from>
        <xdr:to>
          <xdr:col>8</xdr:col>
          <xdr:colOff>790575</xdr:colOff>
          <xdr:row>91</xdr:row>
          <xdr:rowOff>0</xdr:rowOff>
        </xdr:to>
        <xdr:sp macro="" textlink="">
          <xdr:nvSpPr>
            <xdr:cNvPr id="7438" name="Check Box 1294" hidden="1">
              <a:extLst>
                <a:ext uri="{63B3BB69-23CF-44E3-9099-C40C66FF867C}">
                  <a14:compatExt spid="_x0000_s7438"/>
                </a:ext>
                <a:ext uri="{FF2B5EF4-FFF2-40B4-BE49-F238E27FC236}">
                  <a16:creationId xmlns:a16="http://schemas.microsoft.com/office/drawing/2014/main" id="{00000000-0008-0000-0400-00000E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91</xdr:row>
          <xdr:rowOff>0</xdr:rowOff>
        </xdr:from>
        <xdr:to>
          <xdr:col>8</xdr:col>
          <xdr:colOff>790575</xdr:colOff>
          <xdr:row>92</xdr:row>
          <xdr:rowOff>0</xdr:rowOff>
        </xdr:to>
        <xdr:sp macro="" textlink="">
          <xdr:nvSpPr>
            <xdr:cNvPr id="7439" name="Check Box 1295" hidden="1">
              <a:extLst>
                <a:ext uri="{63B3BB69-23CF-44E3-9099-C40C66FF867C}">
                  <a14:compatExt spid="_x0000_s7439"/>
                </a:ext>
                <a:ext uri="{FF2B5EF4-FFF2-40B4-BE49-F238E27FC236}">
                  <a16:creationId xmlns:a16="http://schemas.microsoft.com/office/drawing/2014/main" id="{00000000-0008-0000-0400-00000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89</xdr:row>
          <xdr:rowOff>0</xdr:rowOff>
        </xdr:from>
        <xdr:to>
          <xdr:col>9</xdr:col>
          <xdr:colOff>828675</xdr:colOff>
          <xdr:row>90</xdr:row>
          <xdr:rowOff>0</xdr:rowOff>
        </xdr:to>
        <xdr:sp macro="" textlink="">
          <xdr:nvSpPr>
            <xdr:cNvPr id="7440" name="Check Box 1296" hidden="1">
              <a:extLst>
                <a:ext uri="{63B3BB69-23CF-44E3-9099-C40C66FF867C}">
                  <a14:compatExt spid="_x0000_s7440"/>
                </a:ext>
                <a:ext uri="{FF2B5EF4-FFF2-40B4-BE49-F238E27FC236}">
                  <a16:creationId xmlns:a16="http://schemas.microsoft.com/office/drawing/2014/main" id="{00000000-0008-0000-0400-000010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90</xdr:row>
          <xdr:rowOff>0</xdr:rowOff>
        </xdr:from>
        <xdr:to>
          <xdr:col>9</xdr:col>
          <xdr:colOff>828675</xdr:colOff>
          <xdr:row>91</xdr:row>
          <xdr:rowOff>0</xdr:rowOff>
        </xdr:to>
        <xdr:sp macro="" textlink="">
          <xdr:nvSpPr>
            <xdr:cNvPr id="7441" name="Check Box 1297" hidden="1">
              <a:extLst>
                <a:ext uri="{63B3BB69-23CF-44E3-9099-C40C66FF867C}">
                  <a14:compatExt spid="_x0000_s7441"/>
                </a:ext>
                <a:ext uri="{FF2B5EF4-FFF2-40B4-BE49-F238E27FC236}">
                  <a16:creationId xmlns:a16="http://schemas.microsoft.com/office/drawing/2014/main" id="{00000000-0008-0000-0400-000011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91</xdr:row>
          <xdr:rowOff>0</xdr:rowOff>
        </xdr:from>
        <xdr:to>
          <xdr:col>9</xdr:col>
          <xdr:colOff>828675</xdr:colOff>
          <xdr:row>92</xdr:row>
          <xdr:rowOff>0</xdr:rowOff>
        </xdr:to>
        <xdr:sp macro="" textlink="">
          <xdr:nvSpPr>
            <xdr:cNvPr id="7442" name="Check Box 1298" hidden="1">
              <a:extLst>
                <a:ext uri="{63B3BB69-23CF-44E3-9099-C40C66FF867C}">
                  <a14:compatExt spid="_x0000_s7442"/>
                </a:ext>
                <a:ext uri="{FF2B5EF4-FFF2-40B4-BE49-F238E27FC236}">
                  <a16:creationId xmlns:a16="http://schemas.microsoft.com/office/drawing/2014/main" id="{00000000-0008-0000-0400-00001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438150</xdr:colOff>
          <xdr:row>11</xdr:row>
          <xdr:rowOff>47625</xdr:rowOff>
        </xdr:from>
        <xdr:to>
          <xdr:col>11</xdr:col>
          <xdr:colOff>676275</xdr:colOff>
          <xdr:row>11</xdr:row>
          <xdr:rowOff>257175</xdr:rowOff>
        </xdr:to>
        <xdr:sp macro="" textlink="">
          <xdr:nvSpPr>
            <xdr:cNvPr id="7443" name="Option Button 1299" hidden="1">
              <a:extLst>
                <a:ext uri="{63B3BB69-23CF-44E3-9099-C40C66FF867C}">
                  <a14:compatExt spid="_x0000_s7443"/>
                </a:ext>
                <a:ext uri="{FF2B5EF4-FFF2-40B4-BE49-F238E27FC236}">
                  <a16:creationId xmlns:a16="http://schemas.microsoft.com/office/drawing/2014/main" id="{00000000-0008-0000-0400-000013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11</xdr:row>
          <xdr:rowOff>57150</xdr:rowOff>
        </xdr:from>
        <xdr:to>
          <xdr:col>12</xdr:col>
          <xdr:colOff>676275</xdr:colOff>
          <xdr:row>11</xdr:row>
          <xdr:rowOff>266700</xdr:rowOff>
        </xdr:to>
        <xdr:sp macro="" textlink="">
          <xdr:nvSpPr>
            <xdr:cNvPr id="7444" name="Option Button 1300" hidden="1">
              <a:extLst>
                <a:ext uri="{63B3BB69-23CF-44E3-9099-C40C66FF867C}">
                  <a14:compatExt spid="_x0000_s7444"/>
                </a:ext>
                <a:ext uri="{FF2B5EF4-FFF2-40B4-BE49-F238E27FC236}">
                  <a16:creationId xmlns:a16="http://schemas.microsoft.com/office/drawing/2014/main" id="{00000000-0008-0000-0400-00001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11</xdr:row>
          <xdr:rowOff>57150</xdr:rowOff>
        </xdr:from>
        <xdr:to>
          <xdr:col>13</xdr:col>
          <xdr:colOff>685800</xdr:colOff>
          <xdr:row>11</xdr:row>
          <xdr:rowOff>266700</xdr:rowOff>
        </xdr:to>
        <xdr:sp macro="" textlink="">
          <xdr:nvSpPr>
            <xdr:cNvPr id="7445" name="Option Button 1301" hidden="1">
              <a:extLst>
                <a:ext uri="{63B3BB69-23CF-44E3-9099-C40C66FF867C}">
                  <a14:compatExt spid="_x0000_s7445"/>
                </a:ext>
                <a:ext uri="{FF2B5EF4-FFF2-40B4-BE49-F238E27FC236}">
                  <a16:creationId xmlns:a16="http://schemas.microsoft.com/office/drawing/2014/main" id="{00000000-0008-0000-0400-000015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1</xdr:row>
      <xdr:rowOff>57150</xdr:rowOff>
    </xdr:from>
    <xdr:to>
      <xdr:col>3</xdr:col>
      <xdr:colOff>704850</xdr:colOff>
      <xdr:row>2</xdr:row>
      <xdr:rowOff>171688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0575" y="257175"/>
          <a:ext cx="1743075" cy="30503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209550</xdr:colOff>
      <xdr:row>1</xdr:row>
      <xdr:rowOff>57150</xdr:rowOff>
    </xdr:from>
    <xdr:to>
      <xdr:col>3</xdr:col>
      <xdr:colOff>342900</xdr:colOff>
      <xdr:row>3</xdr:row>
      <xdr:rowOff>238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8633" y="226483"/>
          <a:ext cx="1752600" cy="30292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6:S90" totalsRowShown="0" tableBorderDxfId="56" dataCellStyle="Normal">
  <autoFilter ref="B6:S90" xr:uid="{00000000-0009-0000-0100-000001000000}"/>
  <sortState xmlns:xlrd2="http://schemas.microsoft.com/office/spreadsheetml/2017/richdata2" ref="B7:S90">
    <sortCondition ref="F6:F90"/>
  </sortState>
  <tableColumns count="18">
    <tableColumn id="1" xr3:uid="{00000000-0010-0000-0000-000001000000}" name="Group" dataCellStyle="Normal"/>
    <tableColumn id="2" xr3:uid="{00000000-0010-0000-0000-000002000000}" name="Dealership" dataCellStyle="Normal"/>
    <tableColumn id="3" xr3:uid="{00000000-0010-0000-0000-000003000000}" name="City" dataCellStyle="Normal"/>
    <tableColumn id="4" xr3:uid="{00000000-0010-0000-0000-000004000000}" name="State" dataCellStyle="Normal"/>
    <tableColumn id="5" xr3:uid="{00000000-0010-0000-0000-000005000000}" name="Metal" dataDxfId="55" dataCellStyle="Normal"/>
    <tableColumn id="6" xr3:uid="{00000000-0010-0000-0000-000006000000}" name="Total MRR" dataDxfId="54" dataCellStyle="Normal"/>
    <tableColumn id="7" xr3:uid="{00000000-0010-0000-0000-000007000000}" name="CRM" dataDxfId="53" dataCellStyle="Normal"/>
    <tableColumn id="8" xr3:uid="{00000000-0010-0000-0000-000008000000}" name="Desking" dataDxfId="52" dataCellStyle="Normal"/>
    <tableColumn id="18" xr3:uid="{00000000-0010-0000-0000-000012000000}" name="Service" dataDxfId="51"/>
    <tableColumn id="17" xr3:uid="{00000000-0010-0000-0000-000011000000}" name="iDMS" dataDxfId="50" dataCellStyle="Normal"/>
    <tableColumn id="9" xr3:uid="{00000000-0010-0000-0000-000009000000}" name="Inventory" dataDxfId="49" dataCellStyle="Normal"/>
    <tableColumn id="10" xr3:uid="{00000000-0010-0000-0000-00000A000000}" name="Web/Digital" dataDxfId="48" dataCellStyle="Normal"/>
    <tableColumn id="11" xr3:uid="{00000000-0010-0000-0000-00000B000000}" name="Revenue Radar" dataDxfId="47" dataCellStyle="Normal"/>
    <tableColumn id="12" xr3:uid="{00000000-0010-0000-0000-00000C000000}" name="Other" dataCellStyle="Normal"/>
    <tableColumn id="16" xr3:uid="{00000000-0010-0000-0000-000010000000}" name="Contact Name" dataCellStyle="Normal"/>
    <tableColumn id="13" xr3:uid="{00000000-0010-0000-0000-00000D000000}" name="Contact Title" dataCellStyle="Normal"/>
    <tableColumn id="14" xr3:uid="{00000000-0010-0000-0000-00000E000000}" name="Contact Number" dataCellStyle="Normal"/>
    <tableColumn id="15" xr3:uid="{00000000-0010-0000-0000-00000F000000}" name="Contact Email" dataCellStyle="Normal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4" displayName="Table4" ref="B8:J92" totalsRowShown="0" headerRowDxfId="18" dataDxfId="17">
  <autoFilter ref="B8:J92" xr:uid="{00000000-0009-0000-0100-000004000000}"/>
  <sortState xmlns:xlrd2="http://schemas.microsoft.com/office/spreadsheetml/2017/richdata2" ref="B9:J90">
    <sortCondition ref="G8:G90"/>
  </sortState>
  <tableColumns count="9">
    <tableColumn id="1" xr3:uid="{00000000-0010-0000-0100-000001000000}" name="Group" dataDxfId="16"/>
    <tableColumn id="2" xr3:uid="{00000000-0010-0000-0100-000002000000}" name="Dealership" dataDxfId="15"/>
    <tableColumn id="3" xr3:uid="{00000000-0010-0000-0100-000003000000}" name="Last Visit Date" dataDxfId="14"/>
    <tableColumn id="6" xr3:uid="{00000000-0010-0000-0100-000006000000}" name="Last Conference Call" dataDxfId="13"/>
    <tableColumn id="4" xr3:uid="{00000000-0010-0000-0100-000004000000}" name="Last Call Date" dataDxfId="12"/>
    <tableColumn id="5" xr3:uid="{00000000-0010-0000-0100-000005000000}" name="Metal" dataDxfId="11"/>
    <tableColumn id="7" xr3:uid="{00000000-0010-0000-0100-000007000000}" name="Store Visits" dataDxfId="10"/>
    <tableColumn id="8" xr3:uid="{00000000-0010-0000-0100-000008000000}" name="Conference Call" dataDxfId="9"/>
    <tableColumn id="9" xr3:uid="{00000000-0010-0000-0100-000009000000}" name="Value Added Call" dataDxfId="8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58.xml"/><Relationship Id="rId671" Type="http://schemas.openxmlformats.org/officeDocument/2006/relationships/ctrlProp" Target="../ctrlProps/ctrlProp712.xml"/><Relationship Id="rId769" Type="http://schemas.openxmlformats.org/officeDocument/2006/relationships/ctrlProp" Target="../ctrlProps/ctrlProp810.xml"/><Relationship Id="rId21" Type="http://schemas.openxmlformats.org/officeDocument/2006/relationships/ctrlProp" Target="../ctrlProps/ctrlProp62.xml"/><Relationship Id="rId324" Type="http://schemas.openxmlformats.org/officeDocument/2006/relationships/ctrlProp" Target="../ctrlProps/ctrlProp365.xml"/><Relationship Id="rId531" Type="http://schemas.openxmlformats.org/officeDocument/2006/relationships/ctrlProp" Target="../ctrlProps/ctrlProp572.xml"/><Relationship Id="rId629" Type="http://schemas.openxmlformats.org/officeDocument/2006/relationships/ctrlProp" Target="../ctrlProps/ctrlProp670.xml"/><Relationship Id="rId170" Type="http://schemas.openxmlformats.org/officeDocument/2006/relationships/ctrlProp" Target="../ctrlProps/ctrlProp211.xml"/><Relationship Id="rId836" Type="http://schemas.openxmlformats.org/officeDocument/2006/relationships/ctrlProp" Target="../ctrlProps/ctrlProp877.xml"/><Relationship Id="rId268" Type="http://schemas.openxmlformats.org/officeDocument/2006/relationships/ctrlProp" Target="../ctrlProps/ctrlProp309.xml"/><Relationship Id="rId475" Type="http://schemas.openxmlformats.org/officeDocument/2006/relationships/ctrlProp" Target="../ctrlProps/ctrlProp516.xml"/><Relationship Id="rId682" Type="http://schemas.openxmlformats.org/officeDocument/2006/relationships/ctrlProp" Target="../ctrlProps/ctrlProp723.xml"/><Relationship Id="rId903" Type="http://schemas.openxmlformats.org/officeDocument/2006/relationships/ctrlProp" Target="../ctrlProps/ctrlProp944.xml"/><Relationship Id="rId32" Type="http://schemas.openxmlformats.org/officeDocument/2006/relationships/ctrlProp" Target="../ctrlProps/ctrlProp73.xml"/><Relationship Id="rId128" Type="http://schemas.openxmlformats.org/officeDocument/2006/relationships/ctrlProp" Target="../ctrlProps/ctrlProp169.xml"/><Relationship Id="rId335" Type="http://schemas.openxmlformats.org/officeDocument/2006/relationships/ctrlProp" Target="../ctrlProps/ctrlProp376.xml"/><Relationship Id="rId542" Type="http://schemas.openxmlformats.org/officeDocument/2006/relationships/ctrlProp" Target="../ctrlProps/ctrlProp583.xml"/><Relationship Id="rId181" Type="http://schemas.openxmlformats.org/officeDocument/2006/relationships/ctrlProp" Target="../ctrlProps/ctrlProp222.xml"/><Relationship Id="rId402" Type="http://schemas.openxmlformats.org/officeDocument/2006/relationships/ctrlProp" Target="../ctrlProps/ctrlProp443.xml"/><Relationship Id="rId847" Type="http://schemas.openxmlformats.org/officeDocument/2006/relationships/ctrlProp" Target="../ctrlProps/ctrlProp888.xml"/><Relationship Id="rId279" Type="http://schemas.openxmlformats.org/officeDocument/2006/relationships/ctrlProp" Target="../ctrlProps/ctrlProp320.xml"/><Relationship Id="rId486" Type="http://schemas.openxmlformats.org/officeDocument/2006/relationships/ctrlProp" Target="../ctrlProps/ctrlProp527.xml"/><Relationship Id="rId693" Type="http://schemas.openxmlformats.org/officeDocument/2006/relationships/ctrlProp" Target="../ctrlProps/ctrlProp734.xml"/><Relationship Id="rId707" Type="http://schemas.openxmlformats.org/officeDocument/2006/relationships/ctrlProp" Target="../ctrlProps/ctrlProp748.xml"/><Relationship Id="rId43" Type="http://schemas.openxmlformats.org/officeDocument/2006/relationships/ctrlProp" Target="../ctrlProps/ctrlProp84.xml"/><Relationship Id="rId139" Type="http://schemas.openxmlformats.org/officeDocument/2006/relationships/ctrlProp" Target="../ctrlProps/ctrlProp180.xml"/><Relationship Id="rId346" Type="http://schemas.openxmlformats.org/officeDocument/2006/relationships/ctrlProp" Target="../ctrlProps/ctrlProp387.xml"/><Relationship Id="rId553" Type="http://schemas.openxmlformats.org/officeDocument/2006/relationships/ctrlProp" Target="../ctrlProps/ctrlProp594.xml"/><Relationship Id="rId760" Type="http://schemas.openxmlformats.org/officeDocument/2006/relationships/ctrlProp" Target="../ctrlProps/ctrlProp801.xml"/><Relationship Id="rId192" Type="http://schemas.openxmlformats.org/officeDocument/2006/relationships/ctrlProp" Target="../ctrlProps/ctrlProp233.xml"/><Relationship Id="rId206" Type="http://schemas.openxmlformats.org/officeDocument/2006/relationships/ctrlProp" Target="../ctrlProps/ctrlProp247.xml"/><Relationship Id="rId413" Type="http://schemas.openxmlformats.org/officeDocument/2006/relationships/ctrlProp" Target="../ctrlProps/ctrlProp454.xml"/><Relationship Id="rId858" Type="http://schemas.openxmlformats.org/officeDocument/2006/relationships/ctrlProp" Target="../ctrlProps/ctrlProp899.xml"/><Relationship Id="rId497" Type="http://schemas.openxmlformats.org/officeDocument/2006/relationships/ctrlProp" Target="../ctrlProps/ctrlProp538.xml"/><Relationship Id="rId620" Type="http://schemas.openxmlformats.org/officeDocument/2006/relationships/ctrlProp" Target="../ctrlProps/ctrlProp661.xml"/><Relationship Id="rId718" Type="http://schemas.openxmlformats.org/officeDocument/2006/relationships/ctrlProp" Target="../ctrlProps/ctrlProp759.xml"/><Relationship Id="rId357" Type="http://schemas.openxmlformats.org/officeDocument/2006/relationships/ctrlProp" Target="../ctrlProps/ctrlProp398.xml"/><Relationship Id="rId54" Type="http://schemas.openxmlformats.org/officeDocument/2006/relationships/ctrlProp" Target="../ctrlProps/ctrlProp95.xml"/><Relationship Id="rId217" Type="http://schemas.openxmlformats.org/officeDocument/2006/relationships/ctrlProp" Target="../ctrlProps/ctrlProp258.xml"/><Relationship Id="rId564" Type="http://schemas.openxmlformats.org/officeDocument/2006/relationships/ctrlProp" Target="../ctrlProps/ctrlProp605.xml"/><Relationship Id="rId771" Type="http://schemas.openxmlformats.org/officeDocument/2006/relationships/ctrlProp" Target="../ctrlProps/ctrlProp812.xml"/><Relationship Id="rId869" Type="http://schemas.openxmlformats.org/officeDocument/2006/relationships/ctrlProp" Target="../ctrlProps/ctrlProp910.xml"/><Relationship Id="rId424" Type="http://schemas.openxmlformats.org/officeDocument/2006/relationships/ctrlProp" Target="../ctrlProps/ctrlProp465.xml"/><Relationship Id="rId631" Type="http://schemas.openxmlformats.org/officeDocument/2006/relationships/ctrlProp" Target="../ctrlProps/ctrlProp672.xml"/><Relationship Id="rId729" Type="http://schemas.openxmlformats.org/officeDocument/2006/relationships/ctrlProp" Target="../ctrlProps/ctrlProp770.xml"/><Relationship Id="rId270" Type="http://schemas.openxmlformats.org/officeDocument/2006/relationships/ctrlProp" Target="../ctrlProps/ctrlProp311.xml"/><Relationship Id="rId65" Type="http://schemas.openxmlformats.org/officeDocument/2006/relationships/ctrlProp" Target="../ctrlProps/ctrlProp106.xml"/><Relationship Id="rId130" Type="http://schemas.openxmlformats.org/officeDocument/2006/relationships/ctrlProp" Target="../ctrlProps/ctrlProp171.xml"/><Relationship Id="rId368" Type="http://schemas.openxmlformats.org/officeDocument/2006/relationships/ctrlProp" Target="../ctrlProps/ctrlProp409.xml"/><Relationship Id="rId575" Type="http://schemas.openxmlformats.org/officeDocument/2006/relationships/ctrlProp" Target="../ctrlProps/ctrlProp616.xml"/><Relationship Id="rId782" Type="http://schemas.openxmlformats.org/officeDocument/2006/relationships/ctrlProp" Target="../ctrlProps/ctrlProp823.xml"/><Relationship Id="rId228" Type="http://schemas.openxmlformats.org/officeDocument/2006/relationships/ctrlProp" Target="../ctrlProps/ctrlProp269.xml"/><Relationship Id="rId435" Type="http://schemas.openxmlformats.org/officeDocument/2006/relationships/ctrlProp" Target="../ctrlProps/ctrlProp476.xml"/><Relationship Id="rId642" Type="http://schemas.openxmlformats.org/officeDocument/2006/relationships/ctrlProp" Target="../ctrlProps/ctrlProp683.xml"/><Relationship Id="rId281" Type="http://schemas.openxmlformats.org/officeDocument/2006/relationships/ctrlProp" Target="../ctrlProps/ctrlProp322.xml"/><Relationship Id="rId502" Type="http://schemas.openxmlformats.org/officeDocument/2006/relationships/ctrlProp" Target="../ctrlProps/ctrlProp543.xml"/><Relationship Id="rId76" Type="http://schemas.openxmlformats.org/officeDocument/2006/relationships/ctrlProp" Target="../ctrlProps/ctrlProp117.xml"/><Relationship Id="rId141" Type="http://schemas.openxmlformats.org/officeDocument/2006/relationships/ctrlProp" Target="../ctrlProps/ctrlProp182.xml"/><Relationship Id="rId379" Type="http://schemas.openxmlformats.org/officeDocument/2006/relationships/ctrlProp" Target="../ctrlProps/ctrlProp420.xml"/><Relationship Id="rId586" Type="http://schemas.openxmlformats.org/officeDocument/2006/relationships/ctrlProp" Target="../ctrlProps/ctrlProp627.xml"/><Relationship Id="rId793" Type="http://schemas.openxmlformats.org/officeDocument/2006/relationships/ctrlProp" Target="../ctrlProps/ctrlProp834.xml"/><Relationship Id="rId807" Type="http://schemas.openxmlformats.org/officeDocument/2006/relationships/ctrlProp" Target="../ctrlProps/ctrlProp848.xml"/><Relationship Id="rId7" Type="http://schemas.openxmlformats.org/officeDocument/2006/relationships/ctrlProp" Target="../ctrlProps/ctrlProp48.xml"/><Relationship Id="rId239" Type="http://schemas.openxmlformats.org/officeDocument/2006/relationships/ctrlProp" Target="../ctrlProps/ctrlProp280.xml"/><Relationship Id="rId446" Type="http://schemas.openxmlformats.org/officeDocument/2006/relationships/ctrlProp" Target="../ctrlProps/ctrlProp487.xml"/><Relationship Id="rId653" Type="http://schemas.openxmlformats.org/officeDocument/2006/relationships/ctrlProp" Target="../ctrlProps/ctrlProp694.xml"/><Relationship Id="rId292" Type="http://schemas.openxmlformats.org/officeDocument/2006/relationships/ctrlProp" Target="../ctrlProps/ctrlProp333.xml"/><Relationship Id="rId306" Type="http://schemas.openxmlformats.org/officeDocument/2006/relationships/ctrlProp" Target="../ctrlProps/ctrlProp347.xml"/><Relationship Id="rId860" Type="http://schemas.openxmlformats.org/officeDocument/2006/relationships/ctrlProp" Target="../ctrlProps/ctrlProp901.xml"/><Relationship Id="rId87" Type="http://schemas.openxmlformats.org/officeDocument/2006/relationships/ctrlProp" Target="../ctrlProps/ctrlProp128.xml"/><Relationship Id="rId513" Type="http://schemas.openxmlformats.org/officeDocument/2006/relationships/ctrlProp" Target="../ctrlProps/ctrlProp554.xml"/><Relationship Id="rId597" Type="http://schemas.openxmlformats.org/officeDocument/2006/relationships/ctrlProp" Target="../ctrlProps/ctrlProp638.xml"/><Relationship Id="rId720" Type="http://schemas.openxmlformats.org/officeDocument/2006/relationships/ctrlProp" Target="../ctrlProps/ctrlProp761.xml"/><Relationship Id="rId818" Type="http://schemas.openxmlformats.org/officeDocument/2006/relationships/ctrlProp" Target="../ctrlProps/ctrlProp859.xml"/><Relationship Id="rId152" Type="http://schemas.openxmlformats.org/officeDocument/2006/relationships/ctrlProp" Target="../ctrlProps/ctrlProp193.xml"/><Relationship Id="rId457" Type="http://schemas.openxmlformats.org/officeDocument/2006/relationships/ctrlProp" Target="../ctrlProps/ctrlProp498.xml"/><Relationship Id="rId664" Type="http://schemas.openxmlformats.org/officeDocument/2006/relationships/ctrlProp" Target="../ctrlProps/ctrlProp705.xml"/><Relationship Id="rId871" Type="http://schemas.openxmlformats.org/officeDocument/2006/relationships/ctrlProp" Target="../ctrlProps/ctrlProp912.xml"/><Relationship Id="rId14" Type="http://schemas.openxmlformats.org/officeDocument/2006/relationships/ctrlProp" Target="../ctrlProps/ctrlProp55.xml"/><Relationship Id="rId317" Type="http://schemas.openxmlformats.org/officeDocument/2006/relationships/ctrlProp" Target="../ctrlProps/ctrlProp358.xml"/><Relationship Id="rId524" Type="http://schemas.openxmlformats.org/officeDocument/2006/relationships/ctrlProp" Target="../ctrlProps/ctrlProp565.xml"/><Relationship Id="rId731" Type="http://schemas.openxmlformats.org/officeDocument/2006/relationships/ctrlProp" Target="../ctrlProps/ctrlProp772.xml"/><Relationship Id="rId98" Type="http://schemas.openxmlformats.org/officeDocument/2006/relationships/ctrlProp" Target="../ctrlProps/ctrlProp139.xml"/><Relationship Id="rId163" Type="http://schemas.openxmlformats.org/officeDocument/2006/relationships/ctrlProp" Target="../ctrlProps/ctrlProp204.xml"/><Relationship Id="rId370" Type="http://schemas.openxmlformats.org/officeDocument/2006/relationships/ctrlProp" Target="../ctrlProps/ctrlProp411.xml"/><Relationship Id="rId829" Type="http://schemas.openxmlformats.org/officeDocument/2006/relationships/ctrlProp" Target="../ctrlProps/ctrlProp870.xml"/><Relationship Id="rId230" Type="http://schemas.openxmlformats.org/officeDocument/2006/relationships/ctrlProp" Target="../ctrlProps/ctrlProp271.xml"/><Relationship Id="rId468" Type="http://schemas.openxmlformats.org/officeDocument/2006/relationships/ctrlProp" Target="../ctrlProps/ctrlProp509.xml"/><Relationship Id="rId675" Type="http://schemas.openxmlformats.org/officeDocument/2006/relationships/ctrlProp" Target="../ctrlProps/ctrlProp716.xml"/><Relationship Id="rId840" Type="http://schemas.openxmlformats.org/officeDocument/2006/relationships/ctrlProp" Target="../ctrlProps/ctrlProp881.xml"/><Relationship Id="rId882" Type="http://schemas.openxmlformats.org/officeDocument/2006/relationships/ctrlProp" Target="../ctrlProps/ctrlProp923.xml"/><Relationship Id="rId25" Type="http://schemas.openxmlformats.org/officeDocument/2006/relationships/ctrlProp" Target="../ctrlProps/ctrlProp66.xml"/><Relationship Id="rId67" Type="http://schemas.openxmlformats.org/officeDocument/2006/relationships/ctrlProp" Target="../ctrlProps/ctrlProp108.xml"/><Relationship Id="rId272" Type="http://schemas.openxmlformats.org/officeDocument/2006/relationships/ctrlProp" Target="../ctrlProps/ctrlProp313.xml"/><Relationship Id="rId328" Type="http://schemas.openxmlformats.org/officeDocument/2006/relationships/ctrlProp" Target="../ctrlProps/ctrlProp369.xml"/><Relationship Id="rId535" Type="http://schemas.openxmlformats.org/officeDocument/2006/relationships/ctrlProp" Target="../ctrlProps/ctrlProp576.xml"/><Relationship Id="rId577" Type="http://schemas.openxmlformats.org/officeDocument/2006/relationships/ctrlProp" Target="../ctrlProps/ctrlProp618.xml"/><Relationship Id="rId700" Type="http://schemas.openxmlformats.org/officeDocument/2006/relationships/ctrlProp" Target="../ctrlProps/ctrlProp741.xml"/><Relationship Id="rId742" Type="http://schemas.openxmlformats.org/officeDocument/2006/relationships/ctrlProp" Target="../ctrlProps/ctrlProp783.xml"/><Relationship Id="rId132" Type="http://schemas.openxmlformats.org/officeDocument/2006/relationships/ctrlProp" Target="../ctrlProps/ctrlProp173.xml"/><Relationship Id="rId174" Type="http://schemas.openxmlformats.org/officeDocument/2006/relationships/ctrlProp" Target="../ctrlProps/ctrlProp215.xml"/><Relationship Id="rId381" Type="http://schemas.openxmlformats.org/officeDocument/2006/relationships/ctrlProp" Target="../ctrlProps/ctrlProp422.xml"/><Relationship Id="rId602" Type="http://schemas.openxmlformats.org/officeDocument/2006/relationships/ctrlProp" Target="../ctrlProps/ctrlProp643.xml"/><Relationship Id="rId784" Type="http://schemas.openxmlformats.org/officeDocument/2006/relationships/ctrlProp" Target="../ctrlProps/ctrlProp825.xml"/><Relationship Id="rId241" Type="http://schemas.openxmlformats.org/officeDocument/2006/relationships/ctrlProp" Target="../ctrlProps/ctrlProp282.xml"/><Relationship Id="rId437" Type="http://schemas.openxmlformats.org/officeDocument/2006/relationships/ctrlProp" Target="../ctrlProps/ctrlProp478.xml"/><Relationship Id="rId479" Type="http://schemas.openxmlformats.org/officeDocument/2006/relationships/ctrlProp" Target="../ctrlProps/ctrlProp520.xml"/><Relationship Id="rId644" Type="http://schemas.openxmlformats.org/officeDocument/2006/relationships/ctrlProp" Target="../ctrlProps/ctrlProp685.xml"/><Relationship Id="rId686" Type="http://schemas.openxmlformats.org/officeDocument/2006/relationships/ctrlProp" Target="../ctrlProps/ctrlProp727.xml"/><Relationship Id="rId851" Type="http://schemas.openxmlformats.org/officeDocument/2006/relationships/ctrlProp" Target="../ctrlProps/ctrlProp892.xml"/><Relationship Id="rId893" Type="http://schemas.openxmlformats.org/officeDocument/2006/relationships/ctrlProp" Target="../ctrlProps/ctrlProp934.xml"/><Relationship Id="rId907" Type="http://schemas.openxmlformats.org/officeDocument/2006/relationships/ctrlProp" Target="../ctrlProps/ctrlProp948.xml"/><Relationship Id="rId36" Type="http://schemas.openxmlformats.org/officeDocument/2006/relationships/ctrlProp" Target="../ctrlProps/ctrlProp77.xml"/><Relationship Id="rId283" Type="http://schemas.openxmlformats.org/officeDocument/2006/relationships/ctrlProp" Target="../ctrlProps/ctrlProp324.xml"/><Relationship Id="rId339" Type="http://schemas.openxmlformats.org/officeDocument/2006/relationships/ctrlProp" Target="../ctrlProps/ctrlProp380.xml"/><Relationship Id="rId490" Type="http://schemas.openxmlformats.org/officeDocument/2006/relationships/ctrlProp" Target="../ctrlProps/ctrlProp531.xml"/><Relationship Id="rId504" Type="http://schemas.openxmlformats.org/officeDocument/2006/relationships/ctrlProp" Target="../ctrlProps/ctrlProp545.xml"/><Relationship Id="rId546" Type="http://schemas.openxmlformats.org/officeDocument/2006/relationships/ctrlProp" Target="../ctrlProps/ctrlProp587.xml"/><Relationship Id="rId711" Type="http://schemas.openxmlformats.org/officeDocument/2006/relationships/ctrlProp" Target="../ctrlProps/ctrlProp752.xml"/><Relationship Id="rId753" Type="http://schemas.openxmlformats.org/officeDocument/2006/relationships/ctrlProp" Target="../ctrlProps/ctrlProp794.xml"/><Relationship Id="rId78" Type="http://schemas.openxmlformats.org/officeDocument/2006/relationships/ctrlProp" Target="../ctrlProps/ctrlProp119.xml"/><Relationship Id="rId101" Type="http://schemas.openxmlformats.org/officeDocument/2006/relationships/ctrlProp" Target="../ctrlProps/ctrlProp142.xml"/><Relationship Id="rId143" Type="http://schemas.openxmlformats.org/officeDocument/2006/relationships/ctrlProp" Target="../ctrlProps/ctrlProp184.xml"/><Relationship Id="rId185" Type="http://schemas.openxmlformats.org/officeDocument/2006/relationships/ctrlProp" Target="../ctrlProps/ctrlProp226.xml"/><Relationship Id="rId350" Type="http://schemas.openxmlformats.org/officeDocument/2006/relationships/ctrlProp" Target="../ctrlProps/ctrlProp391.xml"/><Relationship Id="rId406" Type="http://schemas.openxmlformats.org/officeDocument/2006/relationships/ctrlProp" Target="../ctrlProps/ctrlProp447.xml"/><Relationship Id="rId588" Type="http://schemas.openxmlformats.org/officeDocument/2006/relationships/ctrlProp" Target="../ctrlProps/ctrlProp629.xml"/><Relationship Id="rId795" Type="http://schemas.openxmlformats.org/officeDocument/2006/relationships/ctrlProp" Target="../ctrlProps/ctrlProp836.xml"/><Relationship Id="rId809" Type="http://schemas.openxmlformats.org/officeDocument/2006/relationships/ctrlProp" Target="../ctrlProps/ctrlProp850.xml"/><Relationship Id="rId9" Type="http://schemas.openxmlformats.org/officeDocument/2006/relationships/ctrlProp" Target="../ctrlProps/ctrlProp50.xml"/><Relationship Id="rId210" Type="http://schemas.openxmlformats.org/officeDocument/2006/relationships/ctrlProp" Target="../ctrlProps/ctrlProp251.xml"/><Relationship Id="rId392" Type="http://schemas.openxmlformats.org/officeDocument/2006/relationships/ctrlProp" Target="../ctrlProps/ctrlProp433.xml"/><Relationship Id="rId448" Type="http://schemas.openxmlformats.org/officeDocument/2006/relationships/ctrlProp" Target="../ctrlProps/ctrlProp489.xml"/><Relationship Id="rId613" Type="http://schemas.openxmlformats.org/officeDocument/2006/relationships/ctrlProp" Target="../ctrlProps/ctrlProp654.xml"/><Relationship Id="rId655" Type="http://schemas.openxmlformats.org/officeDocument/2006/relationships/ctrlProp" Target="../ctrlProps/ctrlProp696.xml"/><Relationship Id="rId697" Type="http://schemas.openxmlformats.org/officeDocument/2006/relationships/ctrlProp" Target="../ctrlProps/ctrlProp738.xml"/><Relationship Id="rId820" Type="http://schemas.openxmlformats.org/officeDocument/2006/relationships/ctrlProp" Target="../ctrlProps/ctrlProp861.xml"/><Relationship Id="rId862" Type="http://schemas.openxmlformats.org/officeDocument/2006/relationships/ctrlProp" Target="../ctrlProps/ctrlProp903.xml"/><Relationship Id="rId252" Type="http://schemas.openxmlformats.org/officeDocument/2006/relationships/ctrlProp" Target="../ctrlProps/ctrlProp293.xml"/><Relationship Id="rId294" Type="http://schemas.openxmlformats.org/officeDocument/2006/relationships/ctrlProp" Target="../ctrlProps/ctrlProp335.xml"/><Relationship Id="rId308" Type="http://schemas.openxmlformats.org/officeDocument/2006/relationships/ctrlProp" Target="../ctrlProps/ctrlProp349.xml"/><Relationship Id="rId515" Type="http://schemas.openxmlformats.org/officeDocument/2006/relationships/ctrlProp" Target="../ctrlProps/ctrlProp556.xml"/><Relationship Id="rId722" Type="http://schemas.openxmlformats.org/officeDocument/2006/relationships/ctrlProp" Target="../ctrlProps/ctrlProp763.xml"/><Relationship Id="rId47" Type="http://schemas.openxmlformats.org/officeDocument/2006/relationships/ctrlProp" Target="../ctrlProps/ctrlProp88.xml"/><Relationship Id="rId89" Type="http://schemas.openxmlformats.org/officeDocument/2006/relationships/ctrlProp" Target="../ctrlProps/ctrlProp130.xml"/><Relationship Id="rId112" Type="http://schemas.openxmlformats.org/officeDocument/2006/relationships/ctrlProp" Target="../ctrlProps/ctrlProp153.xml"/><Relationship Id="rId154" Type="http://schemas.openxmlformats.org/officeDocument/2006/relationships/ctrlProp" Target="../ctrlProps/ctrlProp195.xml"/><Relationship Id="rId361" Type="http://schemas.openxmlformats.org/officeDocument/2006/relationships/ctrlProp" Target="../ctrlProps/ctrlProp402.xml"/><Relationship Id="rId557" Type="http://schemas.openxmlformats.org/officeDocument/2006/relationships/ctrlProp" Target="../ctrlProps/ctrlProp598.xml"/><Relationship Id="rId599" Type="http://schemas.openxmlformats.org/officeDocument/2006/relationships/ctrlProp" Target="../ctrlProps/ctrlProp640.xml"/><Relationship Id="rId764" Type="http://schemas.openxmlformats.org/officeDocument/2006/relationships/ctrlProp" Target="../ctrlProps/ctrlProp805.xml"/><Relationship Id="rId196" Type="http://schemas.openxmlformats.org/officeDocument/2006/relationships/ctrlProp" Target="../ctrlProps/ctrlProp237.xml"/><Relationship Id="rId417" Type="http://schemas.openxmlformats.org/officeDocument/2006/relationships/ctrlProp" Target="../ctrlProps/ctrlProp458.xml"/><Relationship Id="rId459" Type="http://schemas.openxmlformats.org/officeDocument/2006/relationships/ctrlProp" Target="../ctrlProps/ctrlProp500.xml"/><Relationship Id="rId624" Type="http://schemas.openxmlformats.org/officeDocument/2006/relationships/ctrlProp" Target="../ctrlProps/ctrlProp665.xml"/><Relationship Id="rId666" Type="http://schemas.openxmlformats.org/officeDocument/2006/relationships/ctrlProp" Target="../ctrlProps/ctrlProp707.xml"/><Relationship Id="rId831" Type="http://schemas.openxmlformats.org/officeDocument/2006/relationships/ctrlProp" Target="../ctrlProps/ctrlProp872.xml"/><Relationship Id="rId873" Type="http://schemas.openxmlformats.org/officeDocument/2006/relationships/ctrlProp" Target="../ctrlProps/ctrlProp914.xml"/><Relationship Id="rId16" Type="http://schemas.openxmlformats.org/officeDocument/2006/relationships/ctrlProp" Target="../ctrlProps/ctrlProp57.xml"/><Relationship Id="rId221" Type="http://schemas.openxmlformats.org/officeDocument/2006/relationships/ctrlProp" Target="../ctrlProps/ctrlProp262.xml"/><Relationship Id="rId263" Type="http://schemas.openxmlformats.org/officeDocument/2006/relationships/ctrlProp" Target="../ctrlProps/ctrlProp304.xml"/><Relationship Id="rId319" Type="http://schemas.openxmlformats.org/officeDocument/2006/relationships/ctrlProp" Target="../ctrlProps/ctrlProp360.xml"/><Relationship Id="rId470" Type="http://schemas.openxmlformats.org/officeDocument/2006/relationships/ctrlProp" Target="../ctrlProps/ctrlProp511.xml"/><Relationship Id="rId526" Type="http://schemas.openxmlformats.org/officeDocument/2006/relationships/ctrlProp" Target="../ctrlProps/ctrlProp567.xml"/><Relationship Id="rId58" Type="http://schemas.openxmlformats.org/officeDocument/2006/relationships/ctrlProp" Target="../ctrlProps/ctrlProp99.xml"/><Relationship Id="rId123" Type="http://schemas.openxmlformats.org/officeDocument/2006/relationships/ctrlProp" Target="../ctrlProps/ctrlProp164.xml"/><Relationship Id="rId330" Type="http://schemas.openxmlformats.org/officeDocument/2006/relationships/ctrlProp" Target="../ctrlProps/ctrlProp371.xml"/><Relationship Id="rId568" Type="http://schemas.openxmlformats.org/officeDocument/2006/relationships/ctrlProp" Target="../ctrlProps/ctrlProp609.xml"/><Relationship Id="rId733" Type="http://schemas.openxmlformats.org/officeDocument/2006/relationships/ctrlProp" Target="../ctrlProps/ctrlProp774.xml"/><Relationship Id="rId775" Type="http://schemas.openxmlformats.org/officeDocument/2006/relationships/ctrlProp" Target="../ctrlProps/ctrlProp816.xml"/><Relationship Id="rId165" Type="http://schemas.openxmlformats.org/officeDocument/2006/relationships/ctrlProp" Target="../ctrlProps/ctrlProp206.xml"/><Relationship Id="rId372" Type="http://schemas.openxmlformats.org/officeDocument/2006/relationships/ctrlProp" Target="../ctrlProps/ctrlProp413.xml"/><Relationship Id="rId428" Type="http://schemas.openxmlformats.org/officeDocument/2006/relationships/ctrlProp" Target="../ctrlProps/ctrlProp469.xml"/><Relationship Id="rId635" Type="http://schemas.openxmlformats.org/officeDocument/2006/relationships/ctrlProp" Target="../ctrlProps/ctrlProp676.xml"/><Relationship Id="rId677" Type="http://schemas.openxmlformats.org/officeDocument/2006/relationships/ctrlProp" Target="../ctrlProps/ctrlProp718.xml"/><Relationship Id="rId800" Type="http://schemas.openxmlformats.org/officeDocument/2006/relationships/ctrlProp" Target="../ctrlProps/ctrlProp841.xml"/><Relationship Id="rId842" Type="http://schemas.openxmlformats.org/officeDocument/2006/relationships/ctrlProp" Target="../ctrlProps/ctrlProp883.xml"/><Relationship Id="rId232" Type="http://schemas.openxmlformats.org/officeDocument/2006/relationships/ctrlProp" Target="../ctrlProps/ctrlProp273.xml"/><Relationship Id="rId274" Type="http://schemas.openxmlformats.org/officeDocument/2006/relationships/ctrlProp" Target="../ctrlProps/ctrlProp315.xml"/><Relationship Id="rId481" Type="http://schemas.openxmlformats.org/officeDocument/2006/relationships/ctrlProp" Target="../ctrlProps/ctrlProp522.xml"/><Relationship Id="rId702" Type="http://schemas.openxmlformats.org/officeDocument/2006/relationships/ctrlProp" Target="../ctrlProps/ctrlProp743.xml"/><Relationship Id="rId884" Type="http://schemas.openxmlformats.org/officeDocument/2006/relationships/ctrlProp" Target="../ctrlProps/ctrlProp925.xml"/><Relationship Id="rId27" Type="http://schemas.openxmlformats.org/officeDocument/2006/relationships/ctrlProp" Target="../ctrlProps/ctrlProp68.xml"/><Relationship Id="rId69" Type="http://schemas.openxmlformats.org/officeDocument/2006/relationships/ctrlProp" Target="../ctrlProps/ctrlProp110.xml"/><Relationship Id="rId134" Type="http://schemas.openxmlformats.org/officeDocument/2006/relationships/ctrlProp" Target="../ctrlProps/ctrlProp175.xml"/><Relationship Id="rId537" Type="http://schemas.openxmlformats.org/officeDocument/2006/relationships/ctrlProp" Target="../ctrlProps/ctrlProp578.xml"/><Relationship Id="rId579" Type="http://schemas.openxmlformats.org/officeDocument/2006/relationships/ctrlProp" Target="../ctrlProps/ctrlProp620.xml"/><Relationship Id="rId744" Type="http://schemas.openxmlformats.org/officeDocument/2006/relationships/ctrlProp" Target="../ctrlProps/ctrlProp785.xml"/><Relationship Id="rId786" Type="http://schemas.openxmlformats.org/officeDocument/2006/relationships/ctrlProp" Target="../ctrlProps/ctrlProp827.xml"/><Relationship Id="rId80" Type="http://schemas.openxmlformats.org/officeDocument/2006/relationships/ctrlProp" Target="../ctrlProps/ctrlProp121.xml"/><Relationship Id="rId176" Type="http://schemas.openxmlformats.org/officeDocument/2006/relationships/ctrlProp" Target="../ctrlProps/ctrlProp217.xml"/><Relationship Id="rId341" Type="http://schemas.openxmlformats.org/officeDocument/2006/relationships/ctrlProp" Target="../ctrlProps/ctrlProp382.xml"/><Relationship Id="rId383" Type="http://schemas.openxmlformats.org/officeDocument/2006/relationships/ctrlProp" Target="../ctrlProps/ctrlProp424.xml"/><Relationship Id="rId439" Type="http://schemas.openxmlformats.org/officeDocument/2006/relationships/ctrlProp" Target="../ctrlProps/ctrlProp480.xml"/><Relationship Id="rId590" Type="http://schemas.openxmlformats.org/officeDocument/2006/relationships/ctrlProp" Target="../ctrlProps/ctrlProp631.xml"/><Relationship Id="rId604" Type="http://schemas.openxmlformats.org/officeDocument/2006/relationships/ctrlProp" Target="../ctrlProps/ctrlProp645.xml"/><Relationship Id="rId646" Type="http://schemas.openxmlformats.org/officeDocument/2006/relationships/ctrlProp" Target="../ctrlProps/ctrlProp687.xml"/><Relationship Id="rId811" Type="http://schemas.openxmlformats.org/officeDocument/2006/relationships/ctrlProp" Target="../ctrlProps/ctrlProp852.xml"/><Relationship Id="rId201" Type="http://schemas.openxmlformats.org/officeDocument/2006/relationships/ctrlProp" Target="../ctrlProps/ctrlProp242.xml"/><Relationship Id="rId243" Type="http://schemas.openxmlformats.org/officeDocument/2006/relationships/ctrlProp" Target="../ctrlProps/ctrlProp284.xml"/><Relationship Id="rId285" Type="http://schemas.openxmlformats.org/officeDocument/2006/relationships/ctrlProp" Target="../ctrlProps/ctrlProp326.xml"/><Relationship Id="rId450" Type="http://schemas.openxmlformats.org/officeDocument/2006/relationships/ctrlProp" Target="../ctrlProps/ctrlProp491.xml"/><Relationship Id="rId506" Type="http://schemas.openxmlformats.org/officeDocument/2006/relationships/ctrlProp" Target="../ctrlProps/ctrlProp547.xml"/><Relationship Id="rId688" Type="http://schemas.openxmlformats.org/officeDocument/2006/relationships/ctrlProp" Target="../ctrlProps/ctrlProp729.xml"/><Relationship Id="rId853" Type="http://schemas.openxmlformats.org/officeDocument/2006/relationships/ctrlProp" Target="../ctrlProps/ctrlProp894.xml"/><Relationship Id="rId895" Type="http://schemas.openxmlformats.org/officeDocument/2006/relationships/ctrlProp" Target="../ctrlProps/ctrlProp936.xml"/><Relationship Id="rId909" Type="http://schemas.openxmlformats.org/officeDocument/2006/relationships/ctrlProp" Target="../ctrlProps/ctrlProp950.xml"/><Relationship Id="rId38" Type="http://schemas.openxmlformats.org/officeDocument/2006/relationships/ctrlProp" Target="../ctrlProps/ctrlProp79.xml"/><Relationship Id="rId103" Type="http://schemas.openxmlformats.org/officeDocument/2006/relationships/ctrlProp" Target="../ctrlProps/ctrlProp144.xml"/><Relationship Id="rId310" Type="http://schemas.openxmlformats.org/officeDocument/2006/relationships/ctrlProp" Target="../ctrlProps/ctrlProp351.xml"/><Relationship Id="rId492" Type="http://schemas.openxmlformats.org/officeDocument/2006/relationships/ctrlProp" Target="../ctrlProps/ctrlProp533.xml"/><Relationship Id="rId548" Type="http://schemas.openxmlformats.org/officeDocument/2006/relationships/ctrlProp" Target="../ctrlProps/ctrlProp589.xml"/><Relationship Id="rId713" Type="http://schemas.openxmlformats.org/officeDocument/2006/relationships/ctrlProp" Target="../ctrlProps/ctrlProp754.xml"/><Relationship Id="rId755" Type="http://schemas.openxmlformats.org/officeDocument/2006/relationships/ctrlProp" Target="../ctrlProps/ctrlProp796.xml"/><Relationship Id="rId797" Type="http://schemas.openxmlformats.org/officeDocument/2006/relationships/ctrlProp" Target="../ctrlProps/ctrlProp838.xml"/><Relationship Id="rId91" Type="http://schemas.openxmlformats.org/officeDocument/2006/relationships/ctrlProp" Target="../ctrlProps/ctrlProp132.xml"/><Relationship Id="rId145" Type="http://schemas.openxmlformats.org/officeDocument/2006/relationships/ctrlProp" Target="../ctrlProps/ctrlProp186.xml"/><Relationship Id="rId187" Type="http://schemas.openxmlformats.org/officeDocument/2006/relationships/ctrlProp" Target="../ctrlProps/ctrlProp228.xml"/><Relationship Id="rId352" Type="http://schemas.openxmlformats.org/officeDocument/2006/relationships/ctrlProp" Target="../ctrlProps/ctrlProp393.xml"/><Relationship Id="rId394" Type="http://schemas.openxmlformats.org/officeDocument/2006/relationships/ctrlProp" Target="../ctrlProps/ctrlProp435.xml"/><Relationship Id="rId408" Type="http://schemas.openxmlformats.org/officeDocument/2006/relationships/ctrlProp" Target="../ctrlProps/ctrlProp449.xml"/><Relationship Id="rId615" Type="http://schemas.openxmlformats.org/officeDocument/2006/relationships/ctrlProp" Target="../ctrlProps/ctrlProp656.xml"/><Relationship Id="rId822" Type="http://schemas.openxmlformats.org/officeDocument/2006/relationships/ctrlProp" Target="../ctrlProps/ctrlProp863.xml"/><Relationship Id="rId212" Type="http://schemas.openxmlformats.org/officeDocument/2006/relationships/ctrlProp" Target="../ctrlProps/ctrlProp253.xml"/><Relationship Id="rId254" Type="http://schemas.openxmlformats.org/officeDocument/2006/relationships/ctrlProp" Target="../ctrlProps/ctrlProp295.xml"/><Relationship Id="rId657" Type="http://schemas.openxmlformats.org/officeDocument/2006/relationships/ctrlProp" Target="../ctrlProps/ctrlProp698.xml"/><Relationship Id="rId699" Type="http://schemas.openxmlformats.org/officeDocument/2006/relationships/ctrlProp" Target="../ctrlProps/ctrlProp740.xml"/><Relationship Id="rId864" Type="http://schemas.openxmlformats.org/officeDocument/2006/relationships/ctrlProp" Target="../ctrlProps/ctrlProp905.xml"/><Relationship Id="rId49" Type="http://schemas.openxmlformats.org/officeDocument/2006/relationships/ctrlProp" Target="../ctrlProps/ctrlProp90.xml"/><Relationship Id="rId114" Type="http://schemas.openxmlformats.org/officeDocument/2006/relationships/ctrlProp" Target="../ctrlProps/ctrlProp155.xml"/><Relationship Id="rId296" Type="http://schemas.openxmlformats.org/officeDocument/2006/relationships/ctrlProp" Target="../ctrlProps/ctrlProp337.xml"/><Relationship Id="rId461" Type="http://schemas.openxmlformats.org/officeDocument/2006/relationships/ctrlProp" Target="../ctrlProps/ctrlProp502.xml"/><Relationship Id="rId517" Type="http://schemas.openxmlformats.org/officeDocument/2006/relationships/ctrlProp" Target="../ctrlProps/ctrlProp558.xml"/><Relationship Id="rId559" Type="http://schemas.openxmlformats.org/officeDocument/2006/relationships/ctrlProp" Target="../ctrlProps/ctrlProp600.xml"/><Relationship Id="rId724" Type="http://schemas.openxmlformats.org/officeDocument/2006/relationships/ctrlProp" Target="../ctrlProps/ctrlProp765.xml"/><Relationship Id="rId766" Type="http://schemas.openxmlformats.org/officeDocument/2006/relationships/ctrlProp" Target="../ctrlProps/ctrlProp807.xml"/><Relationship Id="rId60" Type="http://schemas.openxmlformats.org/officeDocument/2006/relationships/ctrlProp" Target="../ctrlProps/ctrlProp101.xml"/><Relationship Id="rId156" Type="http://schemas.openxmlformats.org/officeDocument/2006/relationships/ctrlProp" Target="../ctrlProps/ctrlProp197.xml"/><Relationship Id="rId198" Type="http://schemas.openxmlformats.org/officeDocument/2006/relationships/ctrlProp" Target="../ctrlProps/ctrlProp239.xml"/><Relationship Id="rId321" Type="http://schemas.openxmlformats.org/officeDocument/2006/relationships/ctrlProp" Target="../ctrlProps/ctrlProp362.xml"/><Relationship Id="rId363" Type="http://schemas.openxmlformats.org/officeDocument/2006/relationships/ctrlProp" Target="../ctrlProps/ctrlProp404.xml"/><Relationship Id="rId419" Type="http://schemas.openxmlformats.org/officeDocument/2006/relationships/ctrlProp" Target="../ctrlProps/ctrlProp460.xml"/><Relationship Id="rId570" Type="http://schemas.openxmlformats.org/officeDocument/2006/relationships/ctrlProp" Target="../ctrlProps/ctrlProp611.xml"/><Relationship Id="rId626" Type="http://schemas.openxmlformats.org/officeDocument/2006/relationships/ctrlProp" Target="../ctrlProps/ctrlProp667.xml"/><Relationship Id="rId223" Type="http://schemas.openxmlformats.org/officeDocument/2006/relationships/ctrlProp" Target="../ctrlProps/ctrlProp264.xml"/><Relationship Id="rId430" Type="http://schemas.openxmlformats.org/officeDocument/2006/relationships/ctrlProp" Target="../ctrlProps/ctrlProp471.xml"/><Relationship Id="rId668" Type="http://schemas.openxmlformats.org/officeDocument/2006/relationships/ctrlProp" Target="../ctrlProps/ctrlProp709.xml"/><Relationship Id="rId833" Type="http://schemas.openxmlformats.org/officeDocument/2006/relationships/ctrlProp" Target="../ctrlProps/ctrlProp874.xml"/><Relationship Id="rId875" Type="http://schemas.openxmlformats.org/officeDocument/2006/relationships/ctrlProp" Target="../ctrlProps/ctrlProp916.xml"/><Relationship Id="rId18" Type="http://schemas.openxmlformats.org/officeDocument/2006/relationships/ctrlProp" Target="../ctrlProps/ctrlProp59.xml"/><Relationship Id="rId265" Type="http://schemas.openxmlformats.org/officeDocument/2006/relationships/ctrlProp" Target="../ctrlProps/ctrlProp306.xml"/><Relationship Id="rId472" Type="http://schemas.openxmlformats.org/officeDocument/2006/relationships/ctrlProp" Target="../ctrlProps/ctrlProp513.xml"/><Relationship Id="rId528" Type="http://schemas.openxmlformats.org/officeDocument/2006/relationships/ctrlProp" Target="../ctrlProps/ctrlProp569.xml"/><Relationship Id="rId735" Type="http://schemas.openxmlformats.org/officeDocument/2006/relationships/ctrlProp" Target="../ctrlProps/ctrlProp776.xml"/><Relationship Id="rId900" Type="http://schemas.openxmlformats.org/officeDocument/2006/relationships/ctrlProp" Target="../ctrlProps/ctrlProp941.xml"/><Relationship Id="rId125" Type="http://schemas.openxmlformats.org/officeDocument/2006/relationships/ctrlProp" Target="../ctrlProps/ctrlProp166.xml"/><Relationship Id="rId167" Type="http://schemas.openxmlformats.org/officeDocument/2006/relationships/ctrlProp" Target="../ctrlProps/ctrlProp208.xml"/><Relationship Id="rId332" Type="http://schemas.openxmlformats.org/officeDocument/2006/relationships/ctrlProp" Target="../ctrlProps/ctrlProp373.xml"/><Relationship Id="rId374" Type="http://schemas.openxmlformats.org/officeDocument/2006/relationships/ctrlProp" Target="../ctrlProps/ctrlProp415.xml"/><Relationship Id="rId581" Type="http://schemas.openxmlformats.org/officeDocument/2006/relationships/ctrlProp" Target="../ctrlProps/ctrlProp622.xml"/><Relationship Id="rId777" Type="http://schemas.openxmlformats.org/officeDocument/2006/relationships/ctrlProp" Target="../ctrlProps/ctrlProp818.xml"/><Relationship Id="rId71" Type="http://schemas.openxmlformats.org/officeDocument/2006/relationships/ctrlProp" Target="../ctrlProps/ctrlProp112.xml"/><Relationship Id="rId234" Type="http://schemas.openxmlformats.org/officeDocument/2006/relationships/ctrlProp" Target="../ctrlProps/ctrlProp275.xml"/><Relationship Id="rId637" Type="http://schemas.openxmlformats.org/officeDocument/2006/relationships/ctrlProp" Target="../ctrlProps/ctrlProp678.xml"/><Relationship Id="rId679" Type="http://schemas.openxmlformats.org/officeDocument/2006/relationships/ctrlProp" Target="../ctrlProps/ctrlProp720.xml"/><Relationship Id="rId802" Type="http://schemas.openxmlformats.org/officeDocument/2006/relationships/ctrlProp" Target="../ctrlProps/ctrlProp843.xml"/><Relationship Id="rId844" Type="http://schemas.openxmlformats.org/officeDocument/2006/relationships/ctrlProp" Target="../ctrlProps/ctrlProp885.xml"/><Relationship Id="rId886" Type="http://schemas.openxmlformats.org/officeDocument/2006/relationships/ctrlProp" Target="../ctrlProps/ctrlProp927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70.xml"/><Relationship Id="rId276" Type="http://schemas.openxmlformats.org/officeDocument/2006/relationships/ctrlProp" Target="../ctrlProps/ctrlProp317.xml"/><Relationship Id="rId441" Type="http://schemas.openxmlformats.org/officeDocument/2006/relationships/ctrlProp" Target="../ctrlProps/ctrlProp482.xml"/><Relationship Id="rId483" Type="http://schemas.openxmlformats.org/officeDocument/2006/relationships/ctrlProp" Target="../ctrlProps/ctrlProp524.xml"/><Relationship Id="rId539" Type="http://schemas.openxmlformats.org/officeDocument/2006/relationships/ctrlProp" Target="../ctrlProps/ctrlProp580.xml"/><Relationship Id="rId690" Type="http://schemas.openxmlformats.org/officeDocument/2006/relationships/ctrlProp" Target="../ctrlProps/ctrlProp731.xml"/><Relationship Id="rId704" Type="http://schemas.openxmlformats.org/officeDocument/2006/relationships/ctrlProp" Target="../ctrlProps/ctrlProp745.xml"/><Relationship Id="rId746" Type="http://schemas.openxmlformats.org/officeDocument/2006/relationships/ctrlProp" Target="../ctrlProps/ctrlProp787.xml"/><Relationship Id="rId911" Type="http://schemas.openxmlformats.org/officeDocument/2006/relationships/ctrlProp" Target="../ctrlProps/ctrlProp952.xml"/><Relationship Id="rId40" Type="http://schemas.openxmlformats.org/officeDocument/2006/relationships/ctrlProp" Target="../ctrlProps/ctrlProp81.xml"/><Relationship Id="rId136" Type="http://schemas.openxmlformats.org/officeDocument/2006/relationships/ctrlProp" Target="../ctrlProps/ctrlProp177.xml"/><Relationship Id="rId178" Type="http://schemas.openxmlformats.org/officeDocument/2006/relationships/ctrlProp" Target="../ctrlProps/ctrlProp219.xml"/><Relationship Id="rId301" Type="http://schemas.openxmlformats.org/officeDocument/2006/relationships/ctrlProp" Target="../ctrlProps/ctrlProp342.xml"/><Relationship Id="rId343" Type="http://schemas.openxmlformats.org/officeDocument/2006/relationships/ctrlProp" Target="../ctrlProps/ctrlProp384.xml"/><Relationship Id="rId550" Type="http://schemas.openxmlformats.org/officeDocument/2006/relationships/ctrlProp" Target="../ctrlProps/ctrlProp591.xml"/><Relationship Id="rId788" Type="http://schemas.openxmlformats.org/officeDocument/2006/relationships/ctrlProp" Target="../ctrlProps/ctrlProp829.xml"/><Relationship Id="rId82" Type="http://schemas.openxmlformats.org/officeDocument/2006/relationships/ctrlProp" Target="../ctrlProps/ctrlProp123.xml"/><Relationship Id="rId203" Type="http://schemas.openxmlformats.org/officeDocument/2006/relationships/ctrlProp" Target="../ctrlProps/ctrlProp244.xml"/><Relationship Id="rId385" Type="http://schemas.openxmlformats.org/officeDocument/2006/relationships/ctrlProp" Target="../ctrlProps/ctrlProp426.xml"/><Relationship Id="rId592" Type="http://schemas.openxmlformats.org/officeDocument/2006/relationships/ctrlProp" Target="../ctrlProps/ctrlProp633.xml"/><Relationship Id="rId606" Type="http://schemas.openxmlformats.org/officeDocument/2006/relationships/ctrlProp" Target="../ctrlProps/ctrlProp647.xml"/><Relationship Id="rId648" Type="http://schemas.openxmlformats.org/officeDocument/2006/relationships/ctrlProp" Target="../ctrlProps/ctrlProp689.xml"/><Relationship Id="rId813" Type="http://schemas.openxmlformats.org/officeDocument/2006/relationships/ctrlProp" Target="../ctrlProps/ctrlProp854.xml"/><Relationship Id="rId855" Type="http://schemas.openxmlformats.org/officeDocument/2006/relationships/ctrlProp" Target="../ctrlProps/ctrlProp896.xml"/><Relationship Id="rId245" Type="http://schemas.openxmlformats.org/officeDocument/2006/relationships/ctrlProp" Target="../ctrlProps/ctrlProp286.xml"/><Relationship Id="rId287" Type="http://schemas.openxmlformats.org/officeDocument/2006/relationships/ctrlProp" Target="../ctrlProps/ctrlProp328.xml"/><Relationship Id="rId410" Type="http://schemas.openxmlformats.org/officeDocument/2006/relationships/ctrlProp" Target="../ctrlProps/ctrlProp451.xml"/><Relationship Id="rId452" Type="http://schemas.openxmlformats.org/officeDocument/2006/relationships/ctrlProp" Target="../ctrlProps/ctrlProp493.xml"/><Relationship Id="rId494" Type="http://schemas.openxmlformats.org/officeDocument/2006/relationships/ctrlProp" Target="../ctrlProps/ctrlProp535.xml"/><Relationship Id="rId508" Type="http://schemas.openxmlformats.org/officeDocument/2006/relationships/ctrlProp" Target="../ctrlProps/ctrlProp549.xml"/><Relationship Id="rId715" Type="http://schemas.openxmlformats.org/officeDocument/2006/relationships/ctrlProp" Target="../ctrlProps/ctrlProp756.xml"/><Relationship Id="rId897" Type="http://schemas.openxmlformats.org/officeDocument/2006/relationships/ctrlProp" Target="../ctrlProps/ctrlProp938.xml"/><Relationship Id="rId105" Type="http://schemas.openxmlformats.org/officeDocument/2006/relationships/ctrlProp" Target="../ctrlProps/ctrlProp146.xml"/><Relationship Id="rId147" Type="http://schemas.openxmlformats.org/officeDocument/2006/relationships/ctrlProp" Target="../ctrlProps/ctrlProp188.xml"/><Relationship Id="rId312" Type="http://schemas.openxmlformats.org/officeDocument/2006/relationships/ctrlProp" Target="../ctrlProps/ctrlProp353.xml"/><Relationship Id="rId354" Type="http://schemas.openxmlformats.org/officeDocument/2006/relationships/ctrlProp" Target="../ctrlProps/ctrlProp395.xml"/><Relationship Id="rId757" Type="http://schemas.openxmlformats.org/officeDocument/2006/relationships/ctrlProp" Target="../ctrlProps/ctrlProp798.xml"/><Relationship Id="rId799" Type="http://schemas.openxmlformats.org/officeDocument/2006/relationships/ctrlProp" Target="../ctrlProps/ctrlProp840.xml"/><Relationship Id="rId51" Type="http://schemas.openxmlformats.org/officeDocument/2006/relationships/ctrlProp" Target="../ctrlProps/ctrlProp92.xml"/><Relationship Id="rId93" Type="http://schemas.openxmlformats.org/officeDocument/2006/relationships/ctrlProp" Target="../ctrlProps/ctrlProp134.xml"/><Relationship Id="rId189" Type="http://schemas.openxmlformats.org/officeDocument/2006/relationships/ctrlProp" Target="../ctrlProps/ctrlProp230.xml"/><Relationship Id="rId396" Type="http://schemas.openxmlformats.org/officeDocument/2006/relationships/ctrlProp" Target="../ctrlProps/ctrlProp437.xml"/><Relationship Id="rId561" Type="http://schemas.openxmlformats.org/officeDocument/2006/relationships/ctrlProp" Target="../ctrlProps/ctrlProp602.xml"/><Relationship Id="rId617" Type="http://schemas.openxmlformats.org/officeDocument/2006/relationships/ctrlProp" Target="../ctrlProps/ctrlProp658.xml"/><Relationship Id="rId659" Type="http://schemas.openxmlformats.org/officeDocument/2006/relationships/ctrlProp" Target="../ctrlProps/ctrlProp700.xml"/><Relationship Id="rId824" Type="http://schemas.openxmlformats.org/officeDocument/2006/relationships/ctrlProp" Target="../ctrlProps/ctrlProp865.xml"/><Relationship Id="rId866" Type="http://schemas.openxmlformats.org/officeDocument/2006/relationships/ctrlProp" Target="../ctrlProps/ctrlProp907.xml"/><Relationship Id="rId214" Type="http://schemas.openxmlformats.org/officeDocument/2006/relationships/ctrlProp" Target="../ctrlProps/ctrlProp255.xml"/><Relationship Id="rId256" Type="http://schemas.openxmlformats.org/officeDocument/2006/relationships/ctrlProp" Target="../ctrlProps/ctrlProp297.xml"/><Relationship Id="rId298" Type="http://schemas.openxmlformats.org/officeDocument/2006/relationships/ctrlProp" Target="../ctrlProps/ctrlProp339.xml"/><Relationship Id="rId421" Type="http://schemas.openxmlformats.org/officeDocument/2006/relationships/ctrlProp" Target="../ctrlProps/ctrlProp462.xml"/><Relationship Id="rId463" Type="http://schemas.openxmlformats.org/officeDocument/2006/relationships/ctrlProp" Target="../ctrlProps/ctrlProp504.xml"/><Relationship Id="rId519" Type="http://schemas.openxmlformats.org/officeDocument/2006/relationships/ctrlProp" Target="../ctrlProps/ctrlProp560.xml"/><Relationship Id="rId670" Type="http://schemas.openxmlformats.org/officeDocument/2006/relationships/ctrlProp" Target="../ctrlProps/ctrlProp711.xml"/><Relationship Id="rId116" Type="http://schemas.openxmlformats.org/officeDocument/2006/relationships/ctrlProp" Target="../ctrlProps/ctrlProp157.xml"/><Relationship Id="rId158" Type="http://schemas.openxmlformats.org/officeDocument/2006/relationships/ctrlProp" Target="../ctrlProps/ctrlProp199.xml"/><Relationship Id="rId323" Type="http://schemas.openxmlformats.org/officeDocument/2006/relationships/ctrlProp" Target="../ctrlProps/ctrlProp364.xml"/><Relationship Id="rId530" Type="http://schemas.openxmlformats.org/officeDocument/2006/relationships/ctrlProp" Target="../ctrlProps/ctrlProp571.xml"/><Relationship Id="rId726" Type="http://schemas.openxmlformats.org/officeDocument/2006/relationships/ctrlProp" Target="../ctrlProps/ctrlProp767.xml"/><Relationship Id="rId768" Type="http://schemas.openxmlformats.org/officeDocument/2006/relationships/ctrlProp" Target="../ctrlProps/ctrlProp809.xml"/><Relationship Id="rId20" Type="http://schemas.openxmlformats.org/officeDocument/2006/relationships/ctrlProp" Target="../ctrlProps/ctrlProp61.xml"/><Relationship Id="rId62" Type="http://schemas.openxmlformats.org/officeDocument/2006/relationships/ctrlProp" Target="../ctrlProps/ctrlProp103.xml"/><Relationship Id="rId365" Type="http://schemas.openxmlformats.org/officeDocument/2006/relationships/ctrlProp" Target="../ctrlProps/ctrlProp406.xml"/><Relationship Id="rId572" Type="http://schemas.openxmlformats.org/officeDocument/2006/relationships/ctrlProp" Target="../ctrlProps/ctrlProp613.xml"/><Relationship Id="rId628" Type="http://schemas.openxmlformats.org/officeDocument/2006/relationships/ctrlProp" Target="../ctrlProps/ctrlProp669.xml"/><Relationship Id="rId835" Type="http://schemas.openxmlformats.org/officeDocument/2006/relationships/ctrlProp" Target="../ctrlProps/ctrlProp876.xml"/><Relationship Id="rId225" Type="http://schemas.openxmlformats.org/officeDocument/2006/relationships/ctrlProp" Target="../ctrlProps/ctrlProp266.xml"/><Relationship Id="rId267" Type="http://schemas.openxmlformats.org/officeDocument/2006/relationships/ctrlProp" Target="../ctrlProps/ctrlProp308.xml"/><Relationship Id="rId432" Type="http://schemas.openxmlformats.org/officeDocument/2006/relationships/ctrlProp" Target="../ctrlProps/ctrlProp473.xml"/><Relationship Id="rId474" Type="http://schemas.openxmlformats.org/officeDocument/2006/relationships/ctrlProp" Target="../ctrlProps/ctrlProp515.xml"/><Relationship Id="rId877" Type="http://schemas.openxmlformats.org/officeDocument/2006/relationships/ctrlProp" Target="../ctrlProps/ctrlProp918.xml"/><Relationship Id="rId127" Type="http://schemas.openxmlformats.org/officeDocument/2006/relationships/ctrlProp" Target="../ctrlProps/ctrlProp168.xml"/><Relationship Id="rId681" Type="http://schemas.openxmlformats.org/officeDocument/2006/relationships/ctrlProp" Target="../ctrlProps/ctrlProp722.xml"/><Relationship Id="rId737" Type="http://schemas.openxmlformats.org/officeDocument/2006/relationships/ctrlProp" Target="../ctrlProps/ctrlProp778.xml"/><Relationship Id="rId779" Type="http://schemas.openxmlformats.org/officeDocument/2006/relationships/ctrlProp" Target="../ctrlProps/ctrlProp820.xml"/><Relationship Id="rId902" Type="http://schemas.openxmlformats.org/officeDocument/2006/relationships/ctrlProp" Target="../ctrlProps/ctrlProp943.xml"/><Relationship Id="rId31" Type="http://schemas.openxmlformats.org/officeDocument/2006/relationships/ctrlProp" Target="../ctrlProps/ctrlProp72.xml"/><Relationship Id="rId73" Type="http://schemas.openxmlformats.org/officeDocument/2006/relationships/ctrlProp" Target="../ctrlProps/ctrlProp114.xml"/><Relationship Id="rId169" Type="http://schemas.openxmlformats.org/officeDocument/2006/relationships/ctrlProp" Target="../ctrlProps/ctrlProp210.xml"/><Relationship Id="rId334" Type="http://schemas.openxmlformats.org/officeDocument/2006/relationships/ctrlProp" Target="../ctrlProps/ctrlProp375.xml"/><Relationship Id="rId376" Type="http://schemas.openxmlformats.org/officeDocument/2006/relationships/ctrlProp" Target="../ctrlProps/ctrlProp417.xml"/><Relationship Id="rId541" Type="http://schemas.openxmlformats.org/officeDocument/2006/relationships/ctrlProp" Target="../ctrlProps/ctrlProp582.xml"/><Relationship Id="rId583" Type="http://schemas.openxmlformats.org/officeDocument/2006/relationships/ctrlProp" Target="../ctrlProps/ctrlProp624.xml"/><Relationship Id="rId639" Type="http://schemas.openxmlformats.org/officeDocument/2006/relationships/ctrlProp" Target="../ctrlProps/ctrlProp680.xml"/><Relationship Id="rId790" Type="http://schemas.openxmlformats.org/officeDocument/2006/relationships/ctrlProp" Target="../ctrlProps/ctrlProp831.xml"/><Relationship Id="rId804" Type="http://schemas.openxmlformats.org/officeDocument/2006/relationships/ctrlProp" Target="../ctrlProps/ctrlProp845.xml"/><Relationship Id="rId4" Type="http://schemas.openxmlformats.org/officeDocument/2006/relationships/control" Target="../activeX/activeX1.xml"/><Relationship Id="rId180" Type="http://schemas.openxmlformats.org/officeDocument/2006/relationships/ctrlProp" Target="../ctrlProps/ctrlProp221.xml"/><Relationship Id="rId236" Type="http://schemas.openxmlformats.org/officeDocument/2006/relationships/ctrlProp" Target="../ctrlProps/ctrlProp277.xml"/><Relationship Id="rId278" Type="http://schemas.openxmlformats.org/officeDocument/2006/relationships/ctrlProp" Target="../ctrlProps/ctrlProp319.xml"/><Relationship Id="rId401" Type="http://schemas.openxmlformats.org/officeDocument/2006/relationships/ctrlProp" Target="../ctrlProps/ctrlProp442.xml"/><Relationship Id="rId443" Type="http://schemas.openxmlformats.org/officeDocument/2006/relationships/ctrlProp" Target="../ctrlProps/ctrlProp484.xml"/><Relationship Id="rId650" Type="http://schemas.openxmlformats.org/officeDocument/2006/relationships/ctrlProp" Target="../ctrlProps/ctrlProp691.xml"/><Relationship Id="rId846" Type="http://schemas.openxmlformats.org/officeDocument/2006/relationships/ctrlProp" Target="../ctrlProps/ctrlProp887.xml"/><Relationship Id="rId888" Type="http://schemas.openxmlformats.org/officeDocument/2006/relationships/ctrlProp" Target="../ctrlProps/ctrlProp929.xml"/><Relationship Id="rId303" Type="http://schemas.openxmlformats.org/officeDocument/2006/relationships/ctrlProp" Target="../ctrlProps/ctrlProp344.xml"/><Relationship Id="rId485" Type="http://schemas.openxmlformats.org/officeDocument/2006/relationships/ctrlProp" Target="../ctrlProps/ctrlProp526.xml"/><Relationship Id="rId692" Type="http://schemas.openxmlformats.org/officeDocument/2006/relationships/ctrlProp" Target="../ctrlProps/ctrlProp733.xml"/><Relationship Id="rId706" Type="http://schemas.openxmlformats.org/officeDocument/2006/relationships/ctrlProp" Target="../ctrlProps/ctrlProp747.xml"/><Relationship Id="rId748" Type="http://schemas.openxmlformats.org/officeDocument/2006/relationships/ctrlProp" Target="../ctrlProps/ctrlProp789.xml"/><Relationship Id="rId913" Type="http://schemas.openxmlformats.org/officeDocument/2006/relationships/table" Target="../tables/table2.xml"/><Relationship Id="rId42" Type="http://schemas.openxmlformats.org/officeDocument/2006/relationships/ctrlProp" Target="../ctrlProps/ctrlProp83.xml"/><Relationship Id="rId84" Type="http://schemas.openxmlformats.org/officeDocument/2006/relationships/ctrlProp" Target="../ctrlProps/ctrlProp125.xml"/><Relationship Id="rId138" Type="http://schemas.openxmlformats.org/officeDocument/2006/relationships/ctrlProp" Target="../ctrlProps/ctrlProp179.xml"/><Relationship Id="rId345" Type="http://schemas.openxmlformats.org/officeDocument/2006/relationships/ctrlProp" Target="../ctrlProps/ctrlProp386.xml"/><Relationship Id="rId387" Type="http://schemas.openxmlformats.org/officeDocument/2006/relationships/ctrlProp" Target="../ctrlProps/ctrlProp428.xml"/><Relationship Id="rId510" Type="http://schemas.openxmlformats.org/officeDocument/2006/relationships/ctrlProp" Target="../ctrlProps/ctrlProp551.xml"/><Relationship Id="rId552" Type="http://schemas.openxmlformats.org/officeDocument/2006/relationships/ctrlProp" Target="../ctrlProps/ctrlProp593.xml"/><Relationship Id="rId594" Type="http://schemas.openxmlformats.org/officeDocument/2006/relationships/ctrlProp" Target="../ctrlProps/ctrlProp635.xml"/><Relationship Id="rId608" Type="http://schemas.openxmlformats.org/officeDocument/2006/relationships/ctrlProp" Target="../ctrlProps/ctrlProp649.xml"/><Relationship Id="rId815" Type="http://schemas.openxmlformats.org/officeDocument/2006/relationships/ctrlProp" Target="../ctrlProps/ctrlProp856.xml"/><Relationship Id="rId191" Type="http://schemas.openxmlformats.org/officeDocument/2006/relationships/ctrlProp" Target="../ctrlProps/ctrlProp232.xml"/><Relationship Id="rId205" Type="http://schemas.openxmlformats.org/officeDocument/2006/relationships/ctrlProp" Target="../ctrlProps/ctrlProp246.xml"/><Relationship Id="rId247" Type="http://schemas.openxmlformats.org/officeDocument/2006/relationships/ctrlProp" Target="../ctrlProps/ctrlProp288.xml"/><Relationship Id="rId412" Type="http://schemas.openxmlformats.org/officeDocument/2006/relationships/ctrlProp" Target="../ctrlProps/ctrlProp453.xml"/><Relationship Id="rId857" Type="http://schemas.openxmlformats.org/officeDocument/2006/relationships/ctrlProp" Target="../ctrlProps/ctrlProp898.xml"/><Relationship Id="rId899" Type="http://schemas.openxmlformats.org/officeDocument/2006/relationships/ctrlProp" Target="../ctrlProps/ctrlProp940.xml"/><Relationship Id="rId107" Type="http://schemas.openxmlformats.org/officeDocument/2006/relationships/ctrlProp" Target="../ctrlProps/ctrlProp148.xml"/><Relationship Id="rId289" Type="http://schemas.openxmlformats.org/officeDocument/2006/relationships/ctrlProp" Target="../ctrlProps/ctrlProp330.xml"/><Relationship Id="rId454" Type="http://schemas.openxmlformats.org/officeDocument/2006/relationships/ctrlProp" Target="../ctrlProps/ctrlProp495.xml"/><Relationship Id="rId496" Type="http://schemas.openxmlformats.org/officeDocument/2006/relationships/ctrlProp" Target="../ctrlProps/ctrlProp537.xml"/><Relationship Id="rId661" Type="http://schemas.openxmlformats.org/officeDocument/2006/relationships/ctrlProp" Target="../ctrlProps/ctrlProp702.xml"/><Relationship Id="rId717" Type="http://schemas.openxmlformats.org/officeDocument/2006/relationships/ctrlProp" Target="../ctrlProps/ctrlProp758.xml"/><Relationship Id="rId759" Type="http://schemas.openxmlformats.org/officeDocument/2006/relationships/ctrlProp" Target="../ctrlProps/ctrlProp800.xml"/><Relationship Id="rId11" Type="http://schemas.openxmlformats.org/officeDocument/2006/relationships/ctrlProp" Target="../ctrlProps/ctrlProp52.xml"/><Relationship Id="rId53" Type="http://schemas.openxmlformats.org/officeDocument/2006/relationships/ctrlProp" Target="../ctrlProps/ctrlProp94.xml"/><Relationship Id="rId149" Type="http://schemas.openxmlformats.org/officeDocument/2006/relationships/ctrlProp" Target="../ctrlProps/ctrlProp190.xml"/><Relationship Id="rId314" Type="http://schemas.openxmlformats.org/officeDocument/2006/relationships/ctrlProp" Target="../ctrlProps/ctrlProp355.xml"/><Relationship Id="rId356" Type="http://schemas.openxmlformats.org/officeDocument/2006/relationships/ctrlProp" Target="../ctrlProps/ctrlProp397.xml"/><Relationship Id="rId398" Type="http://schemas.openxmlformats.org/officeDocument/2006/relationships/ctrlProp" Target="../ctrlProps/ctrlProp439.xml"/><Relationship Id="rId521" Type="http://schemas.openxmlformats.org/officeDocument/2006/relationships/ctrlProp" Target="../ctrlProps/ctrlProp562.xml"/><Relationship Id="rId563" Type="http://schemas.openxmlformats.org/officeDocument/2006/relationships/ctrlProp" Target="../ctrlProps/ctrlProp604.xml"/><Relationship Id="rId619" Type="http://schemas.openxmlformats.org/officeDocument/2006/relationships/ctrlProp" Target="../ctrlProps/ctrlProp660.xml"/><Relationship Id="rId770" Type="http://schemas.openxmlformats.org/officeDocument/2006/relationships/ctrlProp" Target="../ctrlProps/ctrlProp811.xml"/><Relationship Id="rId95" Type="http://schemas.openxmlformats.org/officeDocument/2006/relationships/ctrlProp" Target="../ctrlProps/ctrlProp136.xml"/><Relationship Id="rId160" Type="http://schemas.openxmlformats.org/officeDocument/2006/relationships/ctrlProp" Target="../ctrlProps/ctrlProp201.xml"/><Relationship Id="rId216" Type="http://schemas.openxmlformats.org/officeDocument/2006/relationships/ctrlProp" Target="../ctrlProps/ctrlProp257.xml"/><Relationship Id="rId423" Type="http://schemas.openxmlformats.org/officeDocument/2006/relationships/ctrlProp" Target="../ctrlProps/ctrlProp464.xml"/><Relationship Id="rId826" Type="http://schemas.openxmlformats.org/officeDocument/2006/relationships/ctrlProp" Target="../ctrlProps/ctrlProp867.xml"/><Relationship Id="rId868" Type="http://schemas.openxmlformats.org/officeDocument/2006/relationships/ctrlProp" Target="../ctrlProps/ctrlProp909.xml"/><Relationship Id="rId258" Type="http://schemas.openxmlformats.org/officeDocument/2006/relationships/ctrlProp" Target="../ctrlProps/ctrlProp299.xml"/><Relationship Id="rId465" Type="http://schemas.openxmlformats.org/officeDocument/2006/relationships/ctrlProp" Target="../ctrlProps/ctrlProp506.xml"/><Relationship Id="rId630" Type="http://schemas.openxmlformats.org/officeDocument/2006/relationships/ctrlProp" Target="../ctrlProps/ctrlProp671.xml"/><Relationship Id="rId672" Type="http://schemas.openxmlformats.org/officeDocument/2006/relationships/ctrlProp" Target="../ctrlProps/ctrlProp713.xml"/><Relationship Id="rId728" Type="http://schemas.openxmlformats.org/officeDocument/2006/relationships/ctrlProp" Target="../ctrlProps/ctrlProp769.xml"/><Relationship Id="rId22" Type="http://schemas.openxmlformats.org/officeDocument/2006/relationships/ctrlProp" Target="../ctrlProps/ctrlProp63.xml"/><Relationship Id="rId64" Type="http://schemas.openxmlformats.org/officeDocument/2006/relationships/ctrlProp" Target="../ctrlProps/ctrlProp105.xml"/><Relationship Id="rId118" Type="http://schemas.openxmlformats.org/officeDocument/2006/relationships/ctrlProp" Target="../ctrlProps/ctrlProp159.xml"/><Relationship Id="rId325" Type="http://schemas.openxmlformats.org/officeDocument/2006/relationships/ctrlProp" Target="../ctrlProps/ctrlProp366.xml"/><Relationship Id="rId367" Type="http://schemas.openxmlformats.org/officeDocument/2006/relationships/ctrlProp" Target="../ctrlProps/ctrlProp408.xml"/><Relationship Id="rId532" Type="http://schemas.openxmlformats.org/officeDocument/2006/relationships/ctrlProp" Target="../ctrlProps/ctrlProp573.xml"/><Relationship Id="rId574" Type="http://schemas.openxmlformats.org/officeDocument/2006/relationships/ctrlProp" Target="../ctrlProps/ctrlProp615.xml"/><Relationship Id="rId171" Type="http://schemas.openxmlformats.org/officeDocument/2006/relationships/ctrlProp" Target="../ctrlProps/ctrlProp212.xml"/><Relationship Id="rId227" Type="http://schemas.openxmlformats.org/officeDocument/2006/relationships/ctrlProp" Target="../ctrlProps/ctrlProp268.xml"/><Relationship Id="rId781" Type="http://schemas.openxmlformats.org/officeDocument/2006/relationships/ctrlProp" Target="../ctrlProps/ctrlProp822.xml"/><Relationship Id="rId837" Type="http://schemas.openxmlformats.org/officeDocument/2006/relationships/ctrlProp" Target="../ctrlProps/ctrlProp878.xml"/><Relationship Id="rId879" Type="http://schemas.openxmlformats.org/officeDocument/2006/relationships/ctrlProp" Target="../ctrlProps/ctrlProp920.xml"/><Relationship Id="rId269" Type="http://schemas.openxmlformats.org/officeDocument/2006/relationships/ctrlProp" Target="../ctrlProps/ctrlProp310.xml"/><Relationship Id="rId434" Type="http://schemas.openxmlformats.org/officeDocument/2006/relationships/ctrlProp" Target="../ctrlProps/ctrlProp475.xml"/><Relationship Id="rId476" Type="http://schemas.openxmlformats.org/officeDocument/2006/relationships/ctrlProp" Target="../ctrlProps/ctrlProp517.xml"/><Relationship Id="rId641" Type="http://schemas.openxmlformats.org/officeDocument/2006/relationships/ctrlProp" Target="../ctrlProps/ctrlProp682.xml"/><Relationship Id="rId683" Type="http://schemas.openxmlformats.org/officeDocument/2006/relationships/ctrlProp" Target="../ctrlProps/ctrlProp724.xml"/><Relationship Id="rId739" Type="http://schemas.openxmlformats.org/officeDocument/2006/relationships/ctrlProp" Target="../ctrlProps/ctrlProp780.xml"/><Relationship Id="rId890" Type="http://schemas.openxmlformats.org/officeDocument/2006/relationships/ctrlProp" Target="../ctrlProps/ctrlProp931.xml"/><Relationship Id="rId904" Type="http://schemas.openxmlformats.org/officeDocument/2006/relationships/ctrlProp" Target="../ctrlProps/ctrlProp945.xml"/><Relationship Id="rId33" Type="http://schemas.openxmlformats.org/officeDocument/2006/relationships/ctrlProp" Target="../ctrlProps/ctrlProp74.xml"/><Relationship Id="rId129" Type="http://schemas.openxmlformats.org/officeDocument/2006/relationships/ctrlProp" Target="../ctrlProps/ctrlProp170.xml"/><Relationship Id="rId280" Type="http://schemas.openxmlformats.org/officeDocument/2006/relationships/ctrlProp" Target="../ctrlProps/ctrlProp321.xml"/><Relationship Id="rId336" Type="http://schemas.openxmlformats.org/officeDocument/2006/relationships/ctrlProp" Target="../ctrlProps/ctrlProp377.xml"/><Relationship Id="rId501" Type="http://schemas.openxmlformats.org/officeDocument/2006/relationships/ctrlProp" Target="../ctrlProps/ctrlProp542.xml"/><Relationship Id="rId543" Type="http://schemas.openxmlformats.org/officeDocument/2006/relationships/ctrlProp" Target="../ctrlProps/ctrlProp584.xml"/><Relationship Id="rId75" Type="http://schemas.openxmlformats.org/officeDocument/2006/relationships/ctrlProp" Target="../ctrlProps/ctrlProp116.xml"/><Relationship Id="rId140" Type="http://schemas.openxmlformats.org/officeDocument/2006/relationships/ctrlProp" Target="../ctrlProps/ctrlProp181.xml"/><Relationship Id="rId182" Type="http://schemas.openxmlformats.org/officeDocument/2006/relationships/ctrlProp" Target="../ctrlProps/ctrlProp223.xml"/><Relationship Id="rId378" Type="http://schemas.openxmlformats.org/officeDocument/2006/relationships/ctrlProp" Target="../ctrlProps/ctrlProp419.xml"/><Relationship Id="rId403" Type="http://schemas.openxmlformats.org/officeDocument/2006/relationships/ctrlProp" Target="../ctrlProps/ctrlProp444.xml"/><Relationship Id="rId585" Type="http://schemas.openxmlformats.org/officeDocument/2006/relationships/ctrlProp" Target="../ctrlProps/ctrlProp626.xml"/><Relationship Id="rId750" Type="http://schemas.openxmlformats.org/officeDocument/2006/relationships/ctrlProp" Target="../ctrlProps/ctrlProp791.xml"/><Relationship Id="rId792" Type="http://schemas.openxmlformats.org/officeDocument/2006/relationships/ctrlProp" Target="../ctrlProps/ctrlProp833.xml"/><Relationship Id="rId806" Type="http://schemas.openxmlformats.org/officeDocument/2006/relationships/ctrlProp" Target="../ctrlProps/ctrlProp847.xml"/><Relationship Id="rId848" Type="http://schemas.openxmlformats.org/officeDocument/2006/relationships/ctrlProp" Target="../ctrlProps/ctrlProp889.xml"/><Relationship Id="rId6" Type="http://schemas.openxmlformats.org/officeDocument/2006/relationships/ctrlProp" Target="../ctrlProps/ctrlProp47.xml"/><Relationship Id="rId238" Type="http://schemas.openxmlformats.org/officeDocument/2006/relationships/ctrlProp" Target="../ctrlProps/ctrlProp279.xml"/><Relationship Id="rId445" Type="http://schemas.openxmlformats.org/officeDocument/2006/relationships/ctrlProp" Target="../ctrlProps/ctrlProp486.xml"/><Relationship Id="rId487" Type="http://schemas.openxmlformats.org/officeDocument/2006/relationships/ctrlProp" Target="../ctrlProps/ctrlProp528.xml"/><Relationship Id="rId610" Type="http://schemas.openxmlformats.org/officeDocument/2006/relationships/ctrlProp" Target="../ctrlProps/ctrlProp651.xml"/><Relationship Id="rId652" Type="http://schemas.openxmlformats.org/officeDocument/2006/relationships/ctrlProp" Target="../ctrlProps/ctrlProp693.xml"/><Relationship Id="rId694" Type="http://schemas.openxmlformats.org/officeDocument/2006/relationships/ctrlProp" Target="../ctrlProps/ctrlProp735.xml"/><Relationship Id="rId708" Type="http://schemas.openxmlformats.org/officeDocument/2006/relationships/ctrlProp" Target="../ctrlProps/ctrlProp749.xml"/><Relationship Id="rId291" Type="http://schemas.openxmlformats.org/officeDocument/2006/relationships/ctrlProp" Target="../ctrlProps/ctrlProp332.xml"/><Relationship Id="rId305" Type="http://schemas.openxmlformats.org/officeDocument/2006/relationships/ctrlProp" Target="../ctrlProps/ctrlProp346.xml"/><Relationship Id="rId347" Type="http://schemas.openxmlformats.org/officeDocument/2006/relationships/ctrlProp" Target="../ctrlProps/ctrlProp388.xml"/><Relationship Id="rId512" Type="http://schemas.openxmlformats.org/officeDocument/2006/relationships/ctrlProp" Target="../ctrlProps/ctrlProp553.xml"/><Relationship Id="rId44" Type="http://schemas.openxmlformats.org/officeDocument/2006/relationships/ctrlProp" Target="../ctrlProps/ctrlProp85.xml"/><Relationship Id="rId86" Type="http://schemas.openxmlformats.org/officeDocument/2006/relationships/ctrlProp" Target="../ctrlProps/ctrlProp127.xml"/><Relationship Id="rId151" Type="http://schemas.openxmlformats.org/officeDocument/2006/relationships/ctrlProp" Target="../ctrlProps/ctrlProp192.xml"/><Relationship Id="rId389" Type="http://schemas.openxmlformats.org/officeDocument/2006/relationships/ctrlProp" Target="../ctrlProps/ctrlProp430.xml"/><Relationship Id="rId554" Type="http://schemas.openxmlformats.org/officeDocument/2006/relationships/ctrlProp" Target="../ctrlProps/ctrlProp595.xml"/><Relationship Id="rId596" Type="http://schemas.openxmlformats.org/officeDocument/2006/relationships/ctrlProp" Target="../ctrlProps/ctrlProp637.xml"/><Relationship Id="rId761" Type="http://schemas.openxmlformats.org/officeDocument/2006/relationships/ctrlProp" Target="../ctrlProps/ctrlProp802.xml"/><Relationship Id="rId817" Type="http://schemas.openxmlformats.org/officeDocument/2006/relationships/ctrlProp" Target="../ctrlProps/ctrlProp858.xml"/><Relationship Id="rId859" Type="http://schemas.openxmlformats.org/officeDocument/2006/relationships/ctrlProp" Target="../ctrlProps/ctrlProp900.xml"/><Relationship Id="rId193" Type="http://schemas.openxmlformats.org/officeDocument/2006/relationships/ctrlProp" Target="../ctrlProps/ctrlProp234.xml"/><Relationship Id="rId207" Type="http://schemas.openxmlformats.org/officeDocument/2006/relationships/ctrlProp" Target="../ctrlProps/ctrlProp248.xml"/><Relationship Id="rId249" Type="http://schemas.openxmlformats.org/officeDocument/2006/relationships/ctrlProp" Target="../ctrlProps/ctrlProp290.xml"/><Relationship Id="rId414" Type="http://schemas.openxmlformats.org/officeDocument/2006/relationships/ctrlProp" Target="../ctrlProps/ctrlProp455.xml"/><Relationship Id="rId456" Type="http://schemas.openxmlformats.org/officeDocument/2006/relationships/ctrlProp" Target="../ctrlProps/ctrlProp497.xml"/><Relationship Id="rId498" Type="http://schemas.openxmlformats.org/officeDocument/2006/relationships/ctrlProp" Target="../ctrlProps/ctrlProp539.xml"/><Relationship Id="rId621" Type="http://schemas.openxmlformats.org/officeDocument/2006/relationships/ctrlProp" Target="../ctrlProps/ctrlProp662.xml"/><Relationship Id="rId663" Type="http://schemas.openxmlformats.org/officeDocument/2006/relationships/ctrlProp" Target="../ctrlProps/ctrlProp704.xml"/><Relationship Id="rId870" Type="http://schemas.openxmlformats.org/officeDocument/2006/relationships/ctrlProp" Target="../ctrlProps/ctrlProp911.xml"/><Relationship Id="rId13" Type="http://schemas.openxmlformats.org/officeDocument/2006/relationships/ctrlProp" Target="../ctrlProps/ctrlProp54.xml"/><Relationship Id="rId109" Type="http://schemas.openxmlformats.org/officeDocument/2006/relationships/ctrlProp" Target="../ctrlProps/ctrlProp150.xml"/><Relationship Id="rId260" Type="http://schemas.openxmlformats.org/officeDocument/2006/relationships/ctrlProp" Target="../ctrlProps/ctrlProp301.xml"/><Relationship Id="rId316" Type="http://schemas.openxmlformats.org/officeDocument/2006/relationships/ctrlProp" Target="../ctrlProps/ctrlProp357.xml"/><Relationship Id="rId523" Type="http://schemas.openxmlformats.org/officeDocument/2006/relationships/ctrlProp" Target="../ctrlProps/ctrlProp564.xml"/><Relationship Id="rId719" Type="http://schemas.openxmlformats.org/officeDocument/2006/relationships/ctrlProp" Target="../ctrlProps/ctrlProp760.xml"/><Relationship Id="rId55" Type="http://schemas.openxmlformats.org/officeDocument/2006/relationships/ctrlProp" Target="../ctrlProps/ctrlProp96.xml"/><Relationship Id="rId97" Type="http://schemas.openxmlformats.org/officeDocument/2006/relationships/ctrlProp" Target="../ctrlProps/ctrlProp138.xml"/><Relationship Id="rId120" Type="http://schemas.openxmlformats.org/officeDocument/2006/relationships/ctrlProp" Target="../ctrlProps/ctrlProp161.xml"/><Relationship Id="rId358" Type="http://schemas.openxmlformats.org/officeDocument/2006/relationships/ctrlProp" Target="../ctrlProps/ctrlProp399.xml"/><Relationship Id="rId565" Type="http://schemas.openxmlformats.org/officeDocument/2006/relationships/ctrlProp" Target="../ctrlProps/ctrlProp606.xml"/><Relationship Id="rId730" Type="http://schemas.openxmlformats.org/officeDocument/2006/relationships/ctrlProp" Target="../ctrlProps/ctrlProp771.xml"/><Relationship Id="rId772" Type="http://schemas.openxmlformats.org/officeDocument/2006/relationships/ctrlProp" Target="../ctrlProps/ctrlProp813.xml"/><Relationship Id="rId828" Type="http://schemas.openxmlformats.org/officeDocument/2006/relationships/ctrlProp" Target="../ctrlProps/ctrlProp869.xml"/><Relationship Id="rId162" Type="http://schemas.openxmlformats.org/officeDocument/2006/relationships/ctrlProp" Target="../ctrlProps/ctrlProp203.xml"/><Relationship Id="rId218" Type="http://schemas.openxmlformats.org/officeDocument/2006/relationships/ctrlProp" Target="../ctrlProps/ctrlProp259.xml"/><Relationship Id="rId425" Type="http://schemas.openxmlformats.org/officeDocument/2006/relationships/ctrlProp" Target="../ctrlProps/ctrlProp466.xml"/><Relationship Id="rId467" Type="http://schemas.openxmlformats.org/officeDocument/2006/relationships/ctrlProp" Target="../ctrlProps/ctrlProp508.xml"/><Relationship Id="rId632" Type="http://schemas.openxmlformats.org/officeDocument/2006/relationships/ctrlProp" Target="../ctrlProps/ctrlProp673.xml"/><Relationship Id="rId271" Type="http://schemas.openxmlformats.org/officeDocument/2006/relationships/ctrlProp" Target="../ctrlProps/ctrlProp312.xml"/><Relationship Id="rId674" Type="http://schemas.openxmlformats.org/officeDocument/2006/relationships/ctrlProp" Target="../ctrlProps/ctrlProp715.xml"/><Relationship Id="rId881" Type="http://schemas.openxmlformats.org/officeDocument/2006/relationships/ctrlProp" Target="../ctrlProps/ctrlProp922.xml"/><Relationship Id="rId24" Type="http://schemas.openxmlformats.org/officeDocument/2006/relationships/ctrlProp" Target="../ctrlProps/ctrlProp65.xml"/><Relationship Id="rId66" Type="http://schemas.openxmlformats.org/officeDocument/2006/relationships/ctrlProp" Target="../ctrlProps/ctrlProp107.xml"/><Relationship Id="rId131" Type="http://schemas.openxmlformats.org/officeDocument/2006/relationships/ctrlProp" Target="../ctrlProps/ctrlProp172.xml"/><Relationship Id="rId327" Type="http://schemas.openxmlformats.org/officeDocument/2006/relationships/ctrlProp" Target="../ctrlProps/ctrlProp368.xml"/><Relationship Id="rId369" Type="http://schemas.openxmlformats.org/officeDocument/2006/relationships/ctrlProp" Target="../ctrlProps/ctrlProp410.xml"/><Relationship Id="rId534" Type="http://schemas.openxmlformats.org/officeDocument/2006/relationships/ctrlProp" Target="../ctrlProps/ctrlProp575.xml"/><Relationship Id="rId576" Type="http://schemas.openxmlformats.org/officeDocument/2006/relationships/ctrlProp" Target="../ctrlProps/ctrlProp617.xml"/><Relationship Id="rId741" Type="http://schemas.openxmlformats.org/officeDocument/2006/relationships/ctrlProp" Target="../ctrlProps/ctrlProp782.xml"/><Relationship Id="rId783" Type="http://schemas.openxmlformats.org/officeDocument/2006/relationships/ctrlProp" Target="../ctrlProps/ctrlProp824.xml"/><Relationship Id="rId839" Type="http://schemas.openxmlformats.org/officeDocument/2006/relationships/ctrlProp" Target="../ctrlProps/ctrlProp880.xml"/><Relationship Id="rId173" Type="http://schemas.openxmlformats.org/officeDocument/2006/relationships/ctrlProp" Target="../ctrlProps/ctrlProp214.xml"/><Relationship Id="rId229" Type="http://schemas.openxmlformats.org/officeDocument/2006/relationships/ctrlProp" Target="../ctrlProps/ctrlProp270.xml"/><Relationship Id="rId380" Type="http://schemas.openxmlformats.org/officeDocument/2006/relationships/ctrlProp" Target="../ctrlProps/ctrlProp421.xml"/><Relationship Id="rId436" Type="http://schemas.openxmlformats.org/officeDocument/2006/relationships/ctrlProp" Target="../ctrlProps/ctrlProp477.xml"/><Relationship Id="rId601" Type="http://schemas.openxmlformats.org/officeDocument/2006/relationships/ctrlProp" Target="../ctrlProps/ctrlProp642.xml"/><Relationship Id="rId643" Type="http://schemas.openxmlformats.org/officeDocument/2006/relationships/ctrlProp" Target="../ctrlProps/ctrlProp684.xml"/><Relationship Id="rId240" Type="http://schemas.openxmlformats.org/officeDocument/2006/relationships/ctrlProp" Target="../ctrlProps/ctrlProp281.xml"/><Relationship Id="rId478" Type="http://schemas.openxmlformats.org/officeDocument/2006/relationships/ctrlProp" Target="../ctrlProps/ctrlProp519.xml"/><Relationship Id="rId685" Type="http://schemas.openxmlformats.org/officeDocument/2006/relationships/ctrlProp" Target="../ctrlProps/ctrlProp726.xml"/><Relationship Id="rId850" Type="http://schemas.openxmlformats.org/officeDocument/2006/relationships/ctrlProp" Target="../ctrlProps/ctrlProp891.xml"/><Relationship Id="rId892" Type="http://schemas.openxmlformats.org/officeDocument/2006/relationships/ctrlProp" Target="../ctrlProps/ctrlProp933.xml"/><Relationship Id="rId906" Type="http://schemas.openxmlformats.org/officeDocument/2006/relationships/ctrlProp" Target="../ctrlProps/ctrlProp947.xml"/><Relationship Id="rId35" Type="http://schemas.openxmlformats.org/officeDocument/2006/relationships/ctrlProp" Target="../ctrlProps/ctrlProp76.xml"/><Relationship Id="rId77" Type="http://schemas.openxmlformats.org/officeDocument/2006/relationships/ctrlProp" Target="../ctrlProps/ctrlProp118.xml"/><Relationship Id="rId100" Type="http://schemas.openxmlformats.org/officeDocument/2006/relationships/ctrlProp" Target="../ctrlProps/ctrlProp141.xml"/><Relationship Id="rId282" Type="http://schemas.openxmlformats.org/officeDocument/2006/relationships/ctrlProp" Target="../ctrlProps/ctrlProp323.xml"/><Relationship Id="rId338" Type="http://schemas.openxmlformats.org/officeDocument/2006/relationships/ctrlProp" Target="../ctrlProps/ctrlProp379.xml"/><Relationship Id="rId503" Type="http://schemas.openxmlformats.org/officeDocument/2006/relationships/ctrlProp" Target="../ctrlProps/ctrlProp544.xml"/><Relationship Id="rId545" Type="http://schemas.openxmlformats.org/officeDocument/2006/relationships/ctrlProp" Target="../ctrlProps/ctrlProp586.xml"/><Relationship Id="rId587" Type="http://schemas.openxmlformats.org/officeDocument/2006/relationships/ctrlProp" Target="../ctrlProps/ctrlProp628.xml"/><Relationship Id="rId710" Type="http://schemas.openxmlformats.org/officeDocument/2006/relationships/ctrlProp" Target="../ctrlProps/ctrlProp751.xml"/><Relationship Id="rId752" Type="http://schemas.openxmlformats.org/officeDocument/2006/relationships/ctrlProp" Target="../ctrlProps/ctrlProp793.xml"/><Relationship Id="rId808" Type="http://schemas.openxmlformats.org/officeDocument/2006/relationships/ctrlProp" Target="../ctrlProps/ctrlProp849.xml"/><Relationship Id="rId8" Type="http://schemas.openxmlformats.org/officeDocument/2006/relationships/ctrlProp" Target="../ctrlProps/ctrlProp49.xml"/><Relationship Id="rId142" Type="http://schemas.openxmlformats.org/officeDocument/2006/relationships/ctrlProp" Target="../ctrlProps/ctrlProp183.xml"/><Relationship Id="rId184" Type="http://schemas.openxmlformats.org/officeDocument/2006/relationships/ctrlProp" Target="../ctrlProps/ctrlProp225.xml"/><Relationship Id="rId391" Type="http://schemas.openxmlformats.org/officeDocument/2006/relationships/ctrlProp" Target="../ctrlProps/ctrlProp432.xml"/><Relationship Id="rId405" Type="http://schemas.openxmlformats.org/officeDocument/2006/relationships/ctrlProp" Target="../ctrlProps/ctrlProp446.xml"/><Relationship Id="rId447" Type="http://schemas.openxmlformats.org/officeDocument/2006/relationships/ctrlProp" Target="../ctrlProps/ctrlProp488.xml"/><Relationship Id="rId612" Type="http://schemas.openxmlformats.org/officeDocument/2006/relationships/ctrlProp" Target="../ctrlProps/ctrlProp653.xml"/><Relationship Id="rId794" Type="http://schemas.openxmlformats.org/officeDocument/2006/relationships/ctrlProp" Target="../ctrlProps/ctrlProp835.xml"/><Relationship Id="rId251" Type="http://schemas.openxmlformats.org/officeDocument/2006/relationships/ctrlProp" Target="../ctrlProps/ctrlProp292.xml"/><Relationship Id="rId489" Type="http://schemas.openxmlformats.org/officeDocument/2006/relationships/ctrlProp" Target="../ctrlProps/ctrlProp530.xml"/><Relationship Id="rId654" Type="http://schemas.openxmlformats.org/officeDocument/2006/relationships/ctrlProp" Target="../ctrlProps/ctrlProp695.xml"/><Relationship Id="rId696" Type="http://schemas.openxmlformats.org/officeDocument/2006/relationships/ctrlProp" Target="../ctrlProps/ctrlProp737.xml"/><Relationship Id="rId861" Type="http://schemas.openxmlformats.org/officeDocument/2006/relationships/ctrlProp" Target="../ctrlProps/ctrlProp902.xml"/><Relationship Id="rId46" Type="http://schemas.openxmlformats.org/officeDocument/2006/relationships/ctrlProp" Target="../ctrlProps/ctrlProp87.xml"/><Relationship Id="rId293" Type="http://schemas.openxmlformats.org/officeDocument/2006/relationships/ctrlProp" Target="../ctrlProps/ctrlProp334.xml"/><Relationship Id="rId307" Type="http://schemas.openxmlformats.org/officeDocument/2006/relationships/ctrlProp" Target="../ctrlProps/ctrlProp348.xml"/><Relationship Id="rId349" Type="http://schemas.openxmlformats.org/officeDocument/2006/relationships/ctrlProp" Target="../ctrlProps/ctrlProp390.xml"/><Relationship Id="rId514" Type="http://schemas.openxmlformats.org/officeDocument/2006/relationships/ctrlProp" Target="../ctrlProps/ctrlProp555.xml"/><Relationship Id="rId556" Type="http://schemas.openxmlformats.org/officeDocument/2006/relationships/ctrlProp" Target="../ctrlProps/ctrlProp597.xml"/><Relationship Id="rId721" Type="http://schemas.openxmlformats.org/officeDocument/2006/relationships/ctrlProp" Target="../ctrlProps/ctrlProp762.xml"/><Relationship Id="rId763" Type="http://schemas.openxmlformats.org/officeDocument/2006/relationships/ctrlProp" Target="../ctrlProps/ctrlProp804.xml"/><Relationship Id="rId88" Type="http://schemas.openxmlformats.org/officeDocument/2006/relationships/ctrlProp" Target="../ctrlProps/ctrlProp129.xml"/><Relationship Id="rId111" Type="http://schemas.openxmlformats.org/officeDocument/2006/relationships/ctrlProp" Target="../ctrlProps/ctrlProp152.xml"/><Relationship Id="rId153" Type="http://schemas.openxmlformats.org/officeDocument/2006/relationships/ctrlProp" Target="../ctrlProps/ctrlProp194.xml"/><Relationship Id="rId195" Type="http://schemas.openxmlformats.org/officeDocument/2006/relationships/ctrlProp" Target="../ctrlProps/ctrlProp236.xml"/><Relationship Id="rId209" Type="http://schemas.openxmlformats.org/officeDocument/2006/relationships/ctrlProp" Target="../ctrlProps/ctrlProp250.xml"/><Relationship Id="rId360" Type="http://schemas.openxmlformats.org/officeDocument/2006/relationships/ctrlProp" Target="../ctrlProps/ctrlProp401.xml"/><Relationship Id="rId416" Type="http://schemas.openxmlformats.org/officeDocument/2006/relationships/ctrlProp" Target="../ctrlProps/ctrlProp457.xml"/><Relationship Id="rId598" Type="http://schemas.openxmlformats.org/officeDocument/2006/relationships/ctrlProp" Target="../ctrlProps/ctrlProp639.xml"/><Relationship Id="rId819" Type="http://schemas.openxmlformats.org/officeDocument/2006/relationships/ctrlProp" Target="../ctrlProps/ctrlProp860.xml"/><Relationship Id="rId220" Type="http://schemas.openxmlformats.org/officeDocument/2006/relationships/ctrlProp" Target="../ctrlProps/ctrlProp261.xml"/><Relationship Id="rId458" Type="http://schemas.openxmlformats.org/officeDocument/2006/relationships/ctrlProp" Target="../ctrlProps/ctrlProp499.xml"/><Relationship Id="rId623" Type="http://schemas.openxmlformats.org/officeDocument/2006/relationships/ctrlProp" Target="../ctrlProps/ctrlProp664.xml"/><Relationship Id="rId665" Type="http://schemas.openxmlformats.org/officeDocument/2006/relationships/ctrlProp" Target="../ctrlProps/ctrlProp706.xml"/><Relationship Id="rId830" Type="http://schemas.openxmlformats.org/officeDocument/2006/relationships/ctrlProp" Target="../ctrlProps/ctrlProp871.xml"/><Relationship Id="rId872" Type="http://schemas.openxmlformats.org/officeDocument/2006/relationships/ctrlProp" Target="../ctrlProps/ctrlProp913.xml"/><Relationship Id="rId15" Type="http://schemas.openxmlformats.org/officeDocument/2006/relationships/ctrlProp" Target="../ctrlProps/ctrlProp56.xml"/><Relationship Id="rId57" Type="http://schemas.openxmlformats.org/officeDocument/2006/relationships/ctrlProp" Target="../ctrlProps/ctrlProp98.xml"/><Relationship Id="rId262" Type="http://schemas.openxmlformats.org/officeDocument/2006/relationships/ctrlProp" Target="../ctrlProps/ctrlProp303.xml"/><Relationship Id="rId318" Type="http://schemas.openxmlformats.org/officeDocument/2006/relationships/ctrlProp" Target="../ctrlProps/ctrlProp359.xml"/><Relationship Id="rId525" Type="http://schemas.openxmlformats.org/officeDocument/2006/relationships/ctrlProp" Target="../ctrlProps/ctrlProp566.xml"/><Relationship Id="rId567" Type="http://schemas.openxmlformats.org/officeDocument/2006/relationships/ctrlProp" Target="../ctrlProps/ctrlProp608.xml"/><Relationship Id="rId732" Type="http://schemas.openxmlformats.org/officeDocument/2006/relationships/ctrlProp" Target="../ctrlProps/ctrlProp773.xml"/><Relationship Id="rId99" Type="http://schemas.openxmlformats.org/officeDocument/2006/relationships/ctrlProp" Target="../ctrlProps/ctrlProp140.xml"/><Relationship Id="rId122" Type="http://schemas.openxmlformats.org/officeDocument/2006/relationships/ctrlProp" Target="../ctrlProps/ctrlProp163.xml"/><Relationship Id="rId164" Type="http://schemas.openxmlformats.org/officeDocument/2006/relationships/ctrlProp" Target="../ctrlProps/ctrlProp205.xml"/><Relationship Id="rId371" Type="http://schemas.openxmlformats.org/officeDocument/2006/relationships/ctrlProp" Target="../ctrlProps/ctrlProp412.xml"/><Relationship Id="rId774" Type="http://schemas.openxmlformats.org/officeDocument/2006/relationships/ctrlProp" Target="../ctrlProps/ctrlProp815.xml"/><Relationship Id="rId427" Type="http://schemas.openxmlformats.org/officeDocument/2006/relationships/ctrlProp" Target="../ctrlProps/ctrlProp468.xml"/><Relationship Id="rId469" Type="http://schemas.openxmlformats.org/officeDocument/2006/relationships/ctrlProp" Target="../ctrlProps/ctrlProp510.xml"/><Relationship Id="rId634" Type="http://schemas.openxmlformats.org/officeDocument/2006/relationships/ctrlProp" Target="../ctrlProps/ctrlProp675.xml"/><Relationship Id="rId676" Type="http://schemas.openxmlformats.org/officeDocument/2006/relationships/ctrlProp" Target="../ctrlProps/ctrlProp717.xml"/><Relationship Id="rId841" Type="http://schemas.openxmlformats.org/officeDocument/2006/relationships/ctrlProp" Target="../ctrlProps/ctrlProp882.xml"/><Relationship Id="rId883" Type="http://schemas.openxmlformats.org/officeDocument/2006/relationships/ctrlProp" Target="../ctrlProps/ctrlProp924.xml"/><Relationship Id="rId26" Type="http://schemas.openxmlformats.org/officeDocument/2006/relationships/ctrlProp" Target="../ctrlProps/ctrlProp67.xml"/><Relationship Id="rId231" Type="http://schemas.openxmlformats.org/officeDocument/2006/relationships/ctrlProp" Target="../ctrlProps/ctrlProp272.xml"/><Relationship Id="rId273" Type="http://schemas.openxmlformats.org/officeDocument/2006/relationships/ctrlProp" Target="../ctrlProps/ctrlProp314.xml"/><Relationship Id="rId329" Type="http://schemas.openxmlformats.org/officeDocument/2006/relationships/ctrlProp" Target="../ctrlProps/ctrlProp370.xml"/><Relationship Id="rId480" Type="http://schemas.openxmlformats.org/officeDocument/2006/relationships/ctrlProp" Target="../ctrlProps/ctrlProp521.xml"/><Relationship Id="rId536" Type="http://schemas.openxmlformats.org/officeDocument/2006/relationships/ctrlProp" Target="../ctrlProps/ctrlProp577.xml"/><Relationship Id="rId701" Type="http://schemas.openxmlformats.org/officeDocument/2006/relationships/ctrlProp" Target="../ctrlProps/ctrlProp742.xml"/><Relationship Id="rId68" Type="http://schemas.openxmlformats.org/officeDocument/2006/relationships/ctrlProp" Target="../ctrlProps/ctrlProp109.xml"/><Relationship Id="rId133" Type="http://schemas.openxmlformats.org/officeDocument/2006/relationships/ctrlProp" Target="../ctrlProps/ctrlProp174.xml"/><Relationship Id="rId175" Type="http://schemas.openxmlformats.org/officeDocument/2006/relationships/ctrlProp" Target="../ctrlProps/ctrlProp216.xml"/><Relationship Id="rId340" Type="http://schemas.openxmlformats.org/officeDocument/2006/relationships/ctrlProp" Target="../ctrlProps/ctrlProp381.xml"/><Relationship Id="rId578" Type="http://schemas.openxmlformats.org/officeDocument/2006/relationships/ctrlProp" Target="../ctrlProps/ctrlProp619.xml"/><Relationship Id="rId743" Type="http://schemas.openxmlformats.org/officeDocument/2006/relationships/ctrlProp" Target="../ctrlProps/ctrlProp784.xml"/><Relationship Id="rId785" Type="http://schemas.openxmlformats.org/officeDocument/2006/relationships/ctrlProp" Target="../ctrlProps/ctrlProp826.xml"/><Relationship Id="rId200" Type="http://schemas.openxmlformats.org/officeDocument/2006/relationships/ctrlProp" Target="../ctrlProps/ctrlProp241.xml"/><Relationship Id="rId382" Type="http://schemas.openxmlformats.org/officeDocument/2006/relationships/ctrlProp" Target="../ctrlProps/ctrlProp423.xml"/><Relationship Id="rId438" Type="http://schemas.openxmlformats.org/officeDocument/2006/relationships/ctrlProp" Target="../ctrlProps/ctrlProp479.xml"/><Relationship Id="rId603" Type="http://schemas.openxmlformats.org/officeDocument/2006/relationships/ctrlProp" Target="../ctrlProps/ctrlProp644.xml"/><Relationship Id="rId645" Type="http://schemas.openxmlformats.org/officeDocument/2006/relationships/ctrlProp" Target="../ctrlProps/ctrlProp686.xml"/><Relationship Id="rId687" Type="http://schemas.openxmlformats.org/officeDocument/2006/relationships/ctrlProp" Target="../ctrlProps/ctrlProp728.xml"/><Relationship Id="rId810" Type="http://schemas.openxmlformats.org/officeDocument/2006/relationships/ctrlProp" Target="../ctrlProps/ctrlProp851.xml"/><Relationship Id="rId852" Type="http://schemas.openxmlformats.org/officeDocument/2006/relationships/ctrlProp" Target="../ctrlProps/ctrlProp893.xml"/><Relationship Id="rId908" Type="http://schemas.openxmlformats.org/officeDocument/2006/relationships/ctrlProp" Target="../ctrlProps/ctrlProp949.xml"/><Relationship Id="rId242" Type="http://schemas.openxmlformats.org/officeDocument/2006/relationships/ctrlProp" Target="../ctrlProps/ctrlProp283.xml"/><Relationship Id="rId284" Type="http://schemas.openxmlformats.org/officeDocument/2006/relationships/ctrlProp" Target="../ctrlProps/ctrlProp325.xml"/><Relationship Id="rId491" Type="http://schemas.openxmlformats.org/officeDocument/2006/relationships/ctrlProp" Target="../ctrlProps/ctrlProp532.xml"/><Relationship Id="rId505" Type="http://schemas.openxmlformats.org/officeDocument/2006/relationships/ctrlProp" Target="../ctrlProps/ctrlProp546.xml"/><Relationship Id="rId712" Type="http://schemas.openxmlformats.org/officeDocument/2006/relationships/ctrlProp" Target="../ctrlProps/ctrlProp753.xml"/><Relationship Id="rId894" Type="http://schemas.openxmlformats.org/officeDocument/2006/relationships/ctrlProp" Target="../ctrlProps/ctrlProp935.xml"/><Relationship Id="rId37" Type="http://schemas.openxmlformats.org/officeDocument/2006/relationships/ctrlProp" Target="../ctrlProps/ctrlProp78.xml"/><Relationship Id="rId79" Type="http://schemas.openxmlformats.org/officeDocument/2006/relationships/ctrlProp" Target="../ctrlProps/ctrlProp120.xml"/><Relationship Id="rId102" Type="http://schemas.openxmlformats.org/officeDocument/2006/relationships/ctrlProp" Target="../ctrlProps/ctrlProp143.xml"/><Relationship Id="rId144" Type="http://schemas.openxmlformats.org/officeDocument/2006/relationships/ctrlProp" Target="../ctrlProps/ctrlProp185.xml"/><Relationship Id="rId547" Type="http://schemas.openxmlformats.org/officeDocument/2006/relationships/ctrlProp" Target="../ctrlProps/ctrlProp588.xml"/><Relationship Id="rId589" Type="http://schemas.openxmlformats.org/officeDocument/2006/relationships/ctrlProp" Target="../ctrlProps/ctrlProp630.xml"/><Relationship Id="rId754" Type="http://schemas.openxmlformats.org/officeDocument/2006/relationships/ctrlProp" Target="../ctrlProps/ctrlProp795.xml"/><Relationship Id="rId796" Type="http://schemas.openxmlformats.org/officeDocument/2006/relationships/ctrlProp" Target="../ctrlProps/ctrlProp837.xml"/><Relationship Id="rId90" Type="http://schemas.openxmlformats.org/officeDocument/2006/relationships/ctrlProp" Target="../ctrlProps/ctrlProp131.xml"/><Relationship Id="rId186" Type="http://schemas.openxmlformats.org/officeDocument/2006/relationships/ctrlProp" Target="../ctrlProps/ctrlProp227.xml"/><Relationship Id="rId351" Type="http://schemas.openxmlformats.org/officeDocument/2006/relationships/ctrlProp" Target="../ctrlProps/ctrlProp392.xml"/><Relationship Id="rId393" Type="http://schemas.openxmlformats.org/officeDocument/2006/relationships/ctrlProp" Target="../ctrlProps/ctrlProp434.xml"/><Relationship Id="rId407" Type="http://schemas.openxmlformats.org/officeDocument/2006/relationships/ctrlProp" Target="../ctrlProps/ctrlProp448.xml"/><Relationship Id="rId449" Type="http://schemas.openxmlformats.org/officeDocument/2006/relationships/ctrlProp" Target="../ctrlProps/ctrlProp490.xml"/><Relationship Id="rId614" Type="http://schemas.openxmlformats.org/officeDocument/2006/relationships/ctrlProp" Target="../ctrlProps/ctrlProp655.xml"/><Relationship Id="rId656" Type="http://schemas.openxmlformats.org/officeDocument/2006/relationships/ctrlProp" Target="../ctrlProps/ctrlProp697.xml"/><Relationship Id="rId821" Type="http://schemas.openxmlformats.org/officeDocument/2006/relationships/ctrlProp" Target="../ctrlProps/ctrlProp862.xml"/><Relationship Id="rId863" Type="http://schemas.openxmlformats.org/officeDocument/2006/relationships/ctrlProp" Target="../ctrlProps/ctrlProp904.xml"/><Relationship Id="rId211" Type="http://schemas.openxmlformats.org/officeDocument/2006/relationships/ctrlProp" Target="../ctrlProps/ctrlProp252.xml"/><Relationship Id="rId253" Type="http://schemas.openxmlformats.org/officeDocument/2006/relationships/ctrlProp" Target="../ctrlProps/ctrlProp294.xml"/><Relationship Id="rId295" Type="http://schemas.openxmlformats.org/officeDocument/2006/relationships/ctrlProp" Target="../ctrlProps/ctrlProp336.xml"/><Relationship Id="rId309" Type="http://schemas.openxmlformats.org/officeDocument/2006/relationships/ctrlProp" Target="../ctrlProps/ctrlProp350.xml"/><Relationship Id="rId460" Type="http://schemas.openxmlformats.org/officeDocument/2006/relationships/ctrlProp" Target="../ctrlProps/ctrlProp501.xml"/><Relationship Id="rId516" Type="http://schemas.openxmlformats.org/officeDocument/2006/relationships/ctrlProp" Target="../ctrlProps/ctrlProp557.xml"/><Relationship Id="rId698" Type="http://schemas.openxmlformats.org/officeDocument/2006/relationships/ctrlProp" Target="../ctrlProps/ctrlProp739.xml"/><Relationship Id="rId48" Type="http://schemas.openxmlformats.org/officeDocument/2006/relationships/ctrlProp" Target="../ctrlProps/ctrlProp89.xml"/><Relationship Id="rId113" Type="http://schemas.openxmlformats.org/officeDocument/2006/relationships/ctrlProp" Target="../ctrlProps/ctrlProp154.xml"/><Relationship Id="rId320" Type="http://schemas.openxmlformats.org/officeDocument/2006/relationships/ctrlProp" Target="../ctrlProps/ctrlProp361.xml"/><Relationship Id="rId558" Type="http://schemas.openxmlformats.org/officeDocument/2006/relationships/ctrlProp" Target="../ctrlProps/ctrlProp599.xml"/><Relationship Id="rId723" Type="http://schemas.openxmlformats.org/officeDocument/2006/relationships/ctrlProp" Target="../ctrlProps/ctrlProp764.xml"/><Relationship Id="rId765" Type="http://schemas.openxmlformats.org/officeDocument/2006/relationships/ctrlProp" Target="../ctrlProps/ctrlProp806.xml"/><Relationship Id="rId155" Type="http://schemas.openxmlformats.org/officeDocument/2006/relationships/ctrlProp" Target="../ctrlProps/ctrlProp196.xml"/><Relationship Id="rId197" Type="http://schemas.openxmlformats.org/officeDocument/2006/relationships/ctrlProp" Target="../ctrlProps/ctrlProp238.xml"/><Relationship Id="rId362" Type="http://schemas.openxmlformats.org/officeDocument/2006/relationships/ctrlProp" Target="../ctrlProps/ctrlProp403.xml"/><Relationship Id="rId418" Type="http://schemas.openxmlformats.org/officeDocument/2006/relationships/ctrlProp" Target="../ctrlProps/ctrlProp459.xml"/><Relationship Id="rId625" Type="http://schemas.openxmlformats.org/officeDocument/2006/relationships/ctrlProp" Target="../ctrlProps/ctrlProp666.xml"/><Relationship Id="rId832" Type="http://schemas.openxmlformats.org/officeDocument/2006/relationships/ctrlProp" Target="../ctrlProps/ctrlProp873.xml"/><Relationship Id="rId222" Type="http://schemas.openxmlformats.org/officeDocument/2006/relationships/ctrlProp" Target="../ctrlProps/ctrlProp263.xml"/><Relationship Id="rId264" Type="http://schemas.openxmlformats.org/officeDocument/2006/relationships/ctrlProp" Target="../ctrlProps/ctrlProp305.xml"/><Relationship Id="rId471" Type="http://schemas.openxmlformats.org/officeDocument/2006/relationships/ctrlProp" Target="../ctrlProps/ctrlProp512.xml"/><Relationship Id="rId667" Type="http://schemas.openxmlformats.org/officeDocument/2006/relationships/ctrlProp" Target="../ctrlProps/ctrlProp708.xml"/><Relationship Id="rId874" Type="http://schemas.openxmlformats.org/officeDocument/2006/relationships/ctrlProp" Target="../ctrlProps/ctrlProp915.xml"/><Relationship Id="rId17" Type="http://schemas.openxmlformats.org/officeDocument/2006/relationships/ctrlProp" Target="../ctrlProps/ctrlProp58.xml"/><Relationship Id="rId59" Type="http://schemas.openxmlformats.org/officeDocument/2006/relationships/ctrlProp" Target="../ctrlProps/ctrlProp100.xml"/><Relationship Id="rId124" Type="http://schemas.openxmlformats.org/officeDocument/2006/relationships/ctrlProp" Target="../ctrlProps/ctrlProp165.xml"/><Relationship Id="rId527" Type="http://schemas.openxmlformats.org/officeDocument/2006/relationships/ctrlProp" Target="../ctrlProps/ctrlProp568.xml"/><Relationship Id="rId569" Type="http://schemas.openxmlformats.org/officeDocument/2006/relationships/ctrlProp" Target="../ctrlProps/ctrlProp610.xml"/><Relationship Id="rId734" Type="http://schemas.openxmlformats.org/officeDocument/2006/relationships/ctrlProp" Target="../ctrlProps/ctrlProp775.xml"/><Relationship Id="rId776" Type="http://schemas.openxmlformats.org/officeDocument/2006/relationships/ctrlProp" Target="../ctrlProps/ctrlProp817.xml"/><Relationship Id="rId70" Type="http://schemas.openxmlformats.org/officeDocument/2006/relationships/ctrlProp" Target="../ctrlProps/ctrlProp111.xml"/><Relationship Id="rId166" Type="http://schemas.openxmlformats.org/officeDocument/2006/relationships/ctrlProp" Target="../ctrlProps/ctrlProp207.xml"/><Relationship Id="rId331" Type="http://schemas.openxmlformats.org/officeDocument/2006/relationships/ctrlProp" Target="../ctrlProps/ctrlProp372.xml"/><Relationship Id="rId373" Type="http://schemas.openxmlformats.org/officeDocument/2006/relationships/ctrlProp" Target="../ctrlProps/ctrlProp414.xml"/><Relationship Id="rId429" Type="http://schemas.openxmlformats.org/officeDocument/2006/relationships/ctrlProp" Target="../ctrlProps/ctrlProp470.xml"/><Relationship Id="rId580" Type="http://schemas.openxmlformats.org/officeDocument/2006/relationships/ctrlProp" Target="../ctrlProps/ctrlProp621.xml"/><Relationship Id="rId636" Type="http://schemas.openxmlformats.org/officeDocument/2006/relationships/ctrlProp" Target="../ctrlProps/ctrlProp677.xml"/><Relationship Id="rId801" Type="http://schemas.openxmlformats.org/officeDocument/2006/relationships/ctrlProp" Target="../ctrlProps/ctrlProp842.xml"/><Relationship Id="rId1" Type="http://schemas.openxmlformats.org/officeDocument/2006/relationships/printerSettings" Target="../printerSettings/printerSettings5.bin"/><Relationship Id="rId233" Type="http://schemas.openxmlformats.org/officeDocument/2006/relationships/ctrlProp" Target="../ctrlProps/ctrlProp274.xml"/><Relationship Id="rId440" Type="http://schemas.openxmlformats.org/officeDocument/2006/relationships/ctrlProp" Target="../ctrlProps/ctrlProp481.xml"/><Relationship Id="rId678" Type="http://schemas.openxmlformats.org/officeDocument/2006/relationships/ctrlProp" Target="../ctrlProps/ctrlProp719.xml"/><Relationship Id="rId843" Type="http://schemas.openxmlformats.org/officeDocument/2006/relationships/ctrlProp" Target="../ctrlProps/ctrlProp884.xml"/><Relationship Id="rId885" Type="http://schemas.openxmlformats.org/officeDocument/2006/relationships/ctrlProp" Target="../ctrlProps/ctrlProp926.xml"/><Relationship Id="rId28" Type="http://schemas.openxmlformats.org/officeDocument/2006/relationships/ctrlProp" Target="../ctrlProps/ctrlProp69.xml"/><Relationship Id="rId275" Type="http://schemas.openxmlformats.org/officeDocument/2006/relationships/ctrlProp" Target="../ctrlProps/ctrlProp316.xml"/><Relationship Id="rId300" Type="http://schemas.openxmlformats.org/officeDocument/2006/relationships/ctrlProp" Target="../ctrlProps/ctrlProp341.xml"/><Relationship Id="rId482" Type="http://schemas.openxmlformats.org/officeDocument/2006/relationships/ctrlProp" Target="../ctrlProps/ctrlProp523.xml"/><Relationship Id="rId538" Type="http://schemas.openxmlformats.org/officeDocument/2006/relationships/ctrlProp" Target="../ctrlProps/ctrlProp579.xml"/><Relationship Id="rId703" Type="http://schemas.openxmlformats.org/officeDocument/2006/relationships/ctrlProp" Target="../ctrlProps/ctrlProp744.xml"/><Relationship Id="rId745" Type="http://schemas.openxmlformats.org/officeDocument/2006/relationships/ctrlProp" Target="../ctrlProps/ctrlProp786.xml"/><Relationship Id="rId910" Type="http://schemas.openxmlformats.org/officeDocument/2006/relationships/ctrlProp" Target="../ctrlProps/ctrlProp951.xml"/><Relationship Id="rId81" Type="http://schemas.openxmlformats.org/officeDocument/2006/relationships/ctrlProp" Target="../ctrlProps/ctrlProp122.xml"/><Relationship Id="rId135" Type="http://schemas.openxmlformats.org/officeDocument/2006/relationships/ctrlProp" Target="../ctrlProps/ctrlProp176.xml"/><Relationship Id="rId177" Type="http://schemas.openxmlformats.org/officeDocument/2006/relationships/ctrlProp" Target="../ctrlProps/ctrlProp218.xml"/><Relationship Id="rId342" Type="http://schemas.openxmlformats.org/officeDocument/2006/relationships/ctrlProp" Target="../ctrlProps/ctrlProp383.xml"/><Relationship Id="rId384" Type="http://schemas.openxmlformats.org/officeDocument/2006/relationships/ctrlProp" Target="../ctrlProps/ctrlProp425.xml"/><Relationship Id="rId591" Type="http://schemas.openxmlformats.org/officeDocument/2006/relationships/ctrlProp" Target="../ctrlProps/ctrlProp632.xml"/><Relationship Id="rId605" Type="http://schemas.openxmlformats.org/officeDocument/2006/relationships/ctrlProp" Target="../ctrlProps/ctrlProp646.xml"/><Relationship Id="rId787" Type="http://schemas.openxmlformats.org/officeDocument/2006/relationships/ctrlProp" Target="../ctrlProps/ctrlProp828.xml"/><Relationship Id="rId812" Type="http://schemas.openxmlformats.org/officeDocument/2006/relationships/ctrlProp" Target="../ctrlProps/ctrlProp853.xml"/><Relationship Id="rId202" Type="http://schemas.openxmlformats.org/officeDocument/2006/relationships/ctrlProp" Target="../ctrlProps/ctrlProp243.xml"/><Relationship Id="rId244" Type="http://schemas.openxmlformats.org/officeDocument/2006/relationships/ctrlProp" Target="../ctrlProps/ctrlProp285.xml"/><Relationship Id="rId647" Type="http://schemas.openxmlformats.org/officeDocument/2006/relationships/ctrlProp" Target="../ctrlProps/ctrlProp688.xml"/><Relationship Id="rId689" Type="http://schemas.openxmlformats.org/officeDocument/2006/relationships/ctrlProp" Target="../ctrlProps/ctrlProp730.xml"/><Relationship Id="rId854" Type="http://schemas.openxmlformats.org/officeDocument/2006/relationships/ctrlProp" Target="../ctrlProps/ctrlProp895.xml"/><Relationship Id="rId896" Type="http://schemas.openxmlformats.org/officeDocument/2006/relationships/ctrlProp" Target="../ctrlProps/ctrlProp937.xml"/><Relationship Id="rId39" Type="http://schemas.openxmlformats.org/officeDocument/2006/relationships/ctrlProp" Target="../ctrlProps/ctrlProp80.xml"/><Relationship Id="rId286" Type="http://schemas.openxmlformats.org/officeDocument/2006/relationships/ctrlProp" Target="../ctrlProps/ctrlProp327.xml"/><Relationship Id="rId451" Type="http://schemas.openxmlformats.org/officeDocument/2006/relationships/ctrlProp" Target="../ctrlProps/ctrlProp492.xml"/><Relationship Id="rId493" Type="http://schemas.openxmlformats.org/officeDocument/2006/relationships/ctrlProp" Target="../ctrlProps/ctrlProp534.xml"/><Relationship Id="rId507" Type="http://schemas.openxmlformats.org/officeDocument/2006/relationships/ctrlProp" Target="../ctrlProps/ctrlProp548.xml"/><Relationship Id="rId549" Type="http://schemas.openxmlformats.org/officeDocument/2006/relationships/ctrlProp" Target="../ctrlProps/ctrlProp590.xml"/><Relationship Id="rId714" Type="http://schemas.openxmlformats.org/officeDocument/2006/relationships/ctrlProp" Target="../ctrlProps/ctrlProp755.xml"/><Relationship Id="rId756" Type="http://schemas.openxmlformats.org/officeDocument/2006/relationships/ctrlProp" Target="../ctrlProps/ctrlProp797.xml"/><Relationship Id="rId50" Type="http://schemas.openxmlformats.org/officeDocument/2006/relationships/ctrlProp" Target="../ctrlProps/ctrlProp91.xml"/><Relationship Id="rId104" Type="http://schemas.openxmlformats.org/officeDocument/2006/relationships/ctrlProp" Target="../ctrlProps/ctrlProp145.xml"/><Relationship Id="rId146" Type="http://schemas.openxmlformats.org/officeDocument/2006/relationships/ctrlProp" Target="../ctrlProps/ctrlProp187.xml"/><Relationship Id="rId188" Type="http://schemas.openxmlformats.org/officeDocument/2006/relationships/ctrlProp" Target="../ctrlProps/ctrlProp229.xml"/><Relationship Id="rId311" Type="http://schemas.openxmlformats.org/officeDocument/2006/relationships/ctrlProp" Target="../ctrlProps/ctrlProp352.xml"/><Relationship Id="rId353" Type="http://schemas.openxmlformats.org/officeDocument/2006/relationships/ctrlProp" Target="../ctrlProps/ctrlProp394.xml"/><Relationship Id="rId395" Type="http://schemas.openxmlformats.org/officeDocument/2006/relationships/ctrlProp" Target="../ctrlProps/ctrlProp436.xml"/><Relationship Id="rId409" Type="http://schemas.openxmlformats.org/officeDocument/2006/relationships/ctrlProp" Target="../ctrlProps/ctrlProp450.xml"/><Relationship Id="rId560" Type="http://schemas.openxmlformats.org/officeDocument/2006/relationships/ctrlProp" Target="../ctrlProps/ctrlProp601.xml"/><Relationship Id="rId798" Type="http://schemas.openxmlformats.org/officeDocument/2006/relationships/ctrlProp" Target="../ctrlProps/ctrlProp839.xml"/><Relationship Id="rId92" Type="http://schemas.openxmlformats.org/officeDocument/2006/relationships/ctrlProp" Target="../ctrlProps/ctrlProp133.xml"/><Relationship Id="rId213" Type="http://schemas.openxmlformats.org/officeDocument/2006/relationships/ctrlProp" Target="../ctrlProps/ctrlProp254.xml"/><Relationship Id="rId420" Type="http://schemas.openxmlformats.org/officeDocument/2006/relationships/ctrlProp" Target="../ctrlProps/ctrlProp461.xml"/><Relationship Id="rId616" Type="http://schemas.openxmlformats.org/officeDocument/2006/relationships/ctrlProp" Target="../ctrlProps/ctrlProp657.xml"/><Relationship Id="rId658" Type="http://schemas.openxmlformats.org/officeDocument/2006/relationships/ctrlProp" Target="../ctrlProps/ctrlProp699.xml"/><Relationship Id="rId823" Type="http://schemas.openxmlformats.org/officeDocument/2006/relationships/ctrlProp" Target="../ctrlProps/ctrlProp864.xml"/><Relationship Id="rId865" Type="http://schemas.openxmlformats.org/officeDocument/2006/relationships/ctrlProp" Target="../ctrlProps/ctrlProp906.xml"/><Relationship Id="rId255" Type="http://schemas.openxmlformats.org/officeDocument/2006/relationships/ctrlProp" Target="../ctrlProps/ctrlProp296.xml"/><Relationship Id="rId297" Type="http://schemas.openxmlformats.org/officeDocument/2006/relationships/ctrlProp" Target="../ctrlProps/ctrlProp338.xml"/><Relationship Id="rId462" Type="http://schemas.openxmlformats.org/officeDocument/2006/relationships/ctrlProp" Target="../ctrlProps/ctrlProp503.xml"/><Relationship Id="rId518" Type="http://schemas.openxmlformats.org/officeDocument/2006/relationships/ctrlProp" Target="../ctrlProps/ctrlProp559.xml"/><Relationship Id="rId725" Type="http://schemas.openxmlformats.org/officeDocument/2006/relationships/ctrlProp" Target="../ctrlProps/ctrlProp766.xml"/><Relationship Id="rId115" Type="http://schemas.openxmlformats.org/officeDocument/2006/relationships/ctrlProp" Target="../ctrlProps/ctrlProp156.xml"/><Relationship Id="rId157" Type="http://schemas.openxmlformats.org/officeDocument/2006/relationships/ctrlProp" Target="../ctrlProps/ctrlProp198.xml"/><Relationship Id="rId322" Type="http://schemas.openxmlformats.org/officeDocument/2006/relationships/ctrlProp" Target="../ctrlProps/ctrlProp363.xml"/><Relationship Id="rId364" Type="http://schemas.openxmlformats.org/officeDocument/2006/relationships/ctrlProp" Target="../ctrlProps/ctrlProp405.xml"/><Relationship Id="rId767" Type="http://schemas.openxmlformats.org/officeDocument/2006/relationships/ctrlProp" Target="../ctrlProps/ctrlProp808.xml"/><Relationship Id="rId61" Type="http://schemas.openxmlformats.org/officeDocument/2006/relationships/ctrlProp" Target="../ctrlProps/ctrlProp102.xml"/><Relationship Id="rId199" Type="http://schemas.openxmlformats.org/officeDocument/2006/relationships/ctrlProp" Target="../ctrlProps/ctrlProp240.xml"/><Relationship Id="rId571" Type="http://schemas.openxmlformats.org/officeDocument/2006/relationships/ctrlProp" Target="../ctrlProps/ctrlProp612.xml"/><Relationship Id="rId627" Type="http://schemas.openxmlformats.org/officeDocument/2006/relationships/ctrlProp" Target="../ctrlProps/ctrlProp668.xml"/><Relationship Id="rId669" Type="http://schemas.openxmlformats.org/officeDocument/2006/relationships/ctrlProp" Target="../ctrlProps/ctrlProp710.xml"/><Relationship Id="rId834" Type="http://schemas.openxmlformats.org/officeDocument/2006/relationships/ctrlProp" Target="../ctrlProps/ctrlProp875.xml"/><Relationship Id="rId876" Type="http://schemas.openxmlformats.org/officeDocument/2006/relationships/ctrlProp" Target="../ctrlProps/ctrlProp917.xml"/><Relationship Id="rId19" Type="http://schemas.openxmlformats.org/officeDocument/2006/relationships/ctrlProp" Target="../ctrlProps/ctrlProp60.xml"/><Relationship Id="rId224" Type="http://schemas.openxmlformats.org/officeDocument/2006/relationships/ctrlProp" Target="../ctrlProps/ctrlProp265.xml"/><Relationship Id="rId266" Type="http://schemas.openxmlformats.org/officeDocument/2006/relationships/ctrlProp" Target="../ctrlProps/ctrlProp307.xml"/><Relationship Id="rId431" Type="http://schemas.openxmlformats.org/officeDocument/2006/relationships/ctrlProp" Target="../ctrlProps/ctrlProp472.xml"/><Relationship Id="rId473" Type="http://schemas.openxmlformats.org/officeDocument/2006/relationships/ctrlProp" Target="../ctrlProps/ctrlProp514.xml"/><Relationship Id="rId529" Type="http://schemas.openxmlformats.org/officeDocument/2006/relationships/ctrlProp" Target="../ctrlProps/ctrlProp570.xml"/><Relationship Id="rId680" Type="http://schemas.openxmlformats.org/officeDocument/2006/relationships/ctrlProp" Target="../ctrlProps/ctrlProp721.xml"/><Relationship Id="rId736" Type="http://schemas.openxmlformats.org/officeDocument/2006/relationships/ctrlProp" Target="../ctrlProps/ctrlProp777.xml"/><Relationship Id="rId901" Type="http://schemas.openxmlformats.org/officeDocument/2006/relationships/ctrlProp" Target="../ctrlProps/ctrlProp942.xml"/><Relationship Id="rId30" Type="http://schemas.openxmlformats.org/officeDocument/2006/relationships/ctrlProp" Target="../ctrlProps/ctrlProp71.xml"/><Relationship Id="rId126" Type="http://schemas.openxmlformats.org/officeDocument/2006/relationships/ctrlProp" Target="../ctrlProps/ctrlProp167.xml"/><Relationship Id="rId168" Type="http://schemas.openxmlformats.org/officeDocument/2006/relationships/ctrlProp" Target="../ctrlProps/ctrlProp209.xml"/><Relationship Id="rId333" Type="http://schemas.openxmlformats.org/officeDocument/2006/relationships/ctrlProp" Target="../ctrlProps/ctrlProp374.xml"/><Relationship Id="rId540" Type="http://schemas.openxmlformats.org/officeDocument/2006/relationships/ctrlProp" Target="../ctrlProps/ctrlProp581.xml"/><Relationship Id="rId778" Type="http://schemas.openxmlformats.org/officeDocument/2006/relationships/ctrlProp" Target="../ctrlProps/ctrlProp819.xml"/><Relationship Id="rId72" Type="http://schemas.openxmlformats.org/officeDocument/2006/relationships/ctrlProp" Target="../ctrlProps/ctrlProp113.xml"/><Relationship Id="rId375" Type="http://schemas.openxmlformats.org/officeDocument/2006/relationships/ctrlProp" Target="../ctrlProps/ctrlProp416.xml"/><Relationship Id="rId582" Type="http://schemas.openxmlformats.org/officeDocument/2006/relationships/ctrlProp" Target="../ctrlProps/ctrlProp623.xml"/><Relationship Id="rId638" Type="http://schemas.openxmlformats.org/officeDocument/2006/relationships/ctrlProp" Target="../ctrlProps/ctrlProp679.xml"/><Relationship Id="rId803" Type="http://schemas.openxmlformats.org/officeDocument/2006/relationships/ctrlProp" Target="../ctrlProps/ctrlProp844.xml"/><Relationship Id="rId845" Type="http://schemas.openxmlformats.org/officeDocument/2006/relationships/ctrlProp" Target="../ctrlProps/ctrlProp886.xml"/><Relationship Id="rId3" Type="http://schemas.openxmlformats.org/officeDocument/2006/relationships/vmlDrawing" Target="../drawings/vmlDrawing3.vml"/><Relationship Id="rId235" Type="http://schemas.openxmlformats.org/officeDocument/2006/relationships/ctrlProp" Target="../ctrlProps/ctrlProp276.xml"/><Relationship Id="rId277" Type="http://schemas.openxmlformats.org/officeDocument/2006/relationships/ctrlProp" Target="../ctrlProps/ctrlProp318.xml"/><Relationship Id="rId400" Type="http://schemas.openxmlformats.org/officeDocument/2006/relationships/ctrlProp" Target="../ctrlProps/ctrlProp441.xml"/><Relationship Id="rId442" Type="http://schemas.openxmlformats.org/officeDocument/2006/relationships/ctrlProp" Target="../ctrlProps/ctrlProp483.xml"/><Relationship Id="rId484" Type="http://schemas.openxmlformats.org/officeDocument/2006/relationships/ctrlProp" Target="../ctrlProps/ctrlProp525.xml"/><Relationship Id="rId705" Type="http://schemas.openxmlformats.org/officeDocument/2006/relationships/ctrlProp" Target="../ctrlProps/ctrlProp746.xml"/><Relationship Id="rId887" Type="http://schemas.openxmlformats.org/officeDocument/2006/relationships/ctrlProp" Target="../ctrlProps/ctrlProp928.xml"/><Relationship Id="rId137" Type="http://schemas.openxmlformats.org/officeDocument/2006/relationships/ctrlProp" Target="../ctrlProps/ctrlProp178.xml"/><Relationship Id="rId302" Type="http://schemas.openxmlformats.org/officeDocument/2006/relationships/ctrlProp" Target="../ctrlProps/ctrlProp343.xml"/><Relationship Id="rId344" Type="http://schemas.openxmlformats.org/officeDocument/2006/relationships/ctrlProp" Target="../ctrlProps/ctrlProp385.xml"/><Relationship Id="rId691" Type="http://schemas.openxmlformats.org/officeDocument/2006/relationships/ctrlProp" Target="../ctrlProps/ctrlProp732.xml"/><Relationship Id="rId747" Type="http://schemas.openxmlformats.org/officeDocument/2006/relationships/ctrlProp" Target="../ctrlProps/ctrlProp788.xml"/><Relationship Id="rId789" Type="http://schemas.openxmlformats.org/officeDocument/2006/relationships/ctrlProp" Target="../ctrlProps/ctrlProp830.xml"/><Relationship Id="rId912" Type="http://schemas.openxmlformats.org/officeDocument/2006/relationships/ctrlProp" Target="../ctrlProps/ctrlProp953.xml"/><Relationship Id="rId41" Type="http://schemas.openxmlformats.org/officeDocument/2006/relationships/ctrlProp" Target="../ctrlProps/ctrlProp82.xml"/><Relationship Id="rId83" Type="http://schemas.openxmlformats.org/officeDocument/2006/relationships/ctrlProp" Target="../ctrlProps/ctrlProp124.xml"/><Relationship Id="rId179" Type="http://schemas.openxmlformats.org/officeDocument/2006/relationships/ctrlProp" Target="../ctrlProps/ctrlProp220.xml"/><Relationship Id="rId386" Type="http://schemas.openxmlformats.org/officeDocument/2006/relationships/ctrlProp" Target="../ctrlProps/ctrlProp427.xml"/><Relationship Id="rId551" Type="http://schemas.openxmlformats.org/officeDocument/2006/relationships/ctrlProp" Target="../ctrlProps/ctrlProp592.xml"/><Relationship Id="rId593" Type="http://schemas.openxmlformats.org/officeDocument/2006/relationships/ctrlProp" Target="../ctrlProps/ctrlProp634.xml"/><Relationship Id="rId607" Type="http://schemas.openxmlformats.org/officeDocument/2006/relationships/ctrlProp" Target="../ctrlProps/ctrlProp648.xml"/><Relationship Id="rId649" Type="http://schemas.openxmlformats.org/officeDocument/2006/relationships/ctrlProp" Target="../ctrlProps/ctrlProp690.xml"/><Relationship Id="rId814" Type="http://schemas.openxmlformats.org/officeDocument/2006/relationships/ctrlProp" Target="../ctrlProps/ctrlProp855.xml"/><Relationship Id="rId856" Type="http://schemas.openxmlformats.org/officeDocument/2006/relationships/ctrlProp" Target="../ctrlProps/ctrlProp897.xml"/><Relationship Id="rId190" Type="http://schemas.openxmlformats.org/officeDocument/2006/relationships/ctrlProp" Target="../ctrlProps/ctrlProp231.xml"/><Relationship Id="rId204" Type="http://schemas.openxmlformats.org/officeDocument/2006/relationships/ctrlProp" Target="../ctrlProps/ctrlProp245.xml"/><Relationship Id="rId246" Type="http://schemas.openxmlformats.org/officeDocument/2006/relationships/ctrlProp" Target="../ctrlProps/ctrlProp287.xml"/><Relationship Id="rId288" Type="http://schemas.openxmlformats.org/officeDocument/2006/relationships/ctrlProp" Target="../ctrlProps/ctrlProp329.xml"/><Relationship Id="rId411" Type="http://schemas.openxmlformats.org/officeDocument/2006/relationships/ctrlProp" Target="../ctrlProps/ctrlProp452.xml"/><Relationship Id="rId453" Type="http://schemas.openxmlformats.org/officeDocument/2006/relationships/ctrlProp" Target="../ctrlProps/ctrlProp494.xml"/><Relationship Id="rId509" Type="http://schemas.openxmlformats.org/officeDocument/2006/relationships/ctrlProp" Target="../ctrlProps/ctrlProp550.xml"/><Relationship Id="rId660" Type="http://schemas.openxmlformats.org/officeDocument/2006/relationships/ctrlProp" Target="../ctrlProps/ctrlProp701.xml"/><Relationship Id="rId898" Type="http://schemas.openxmlformats.org/officeDocument/2006/relationships/ctrlProp" Target="../ctrlProps/ctrlProp939.xml"/><Relationship Id="rId106" Type="http://schemas.openxmlformats.org/officeDocument/2006/relationships/ctrlProp" Target="../ctrlProps/ctrlProp147.xml"/><Relationship Id="rId313" Type="http://schemas.openxmlformats.org/officeDocument/2006/relationships/ctrlProp" Target="../ctrlProps/ctrlProp354.xml"/><Relationship Id="rId495" Type="http://schemas.openxmlformats.org/officeDocument/2006/relationships/ctrlProp" Target="../ctrlProps/ctrlProp536.xml"/><Relationship Id="rId716" Type="http://schemas.openxmlformats.org/officeDocument/2006/relationships/ctrlProp" Target="../ctrlProps/ctrlProp757.xml"/><Relationship Id="rId758" Type="http://schemas.openxmlformats.org/officeDocument/2006/relationships/ctrlProp" Target="../ctrlProps/ctrlProp799.xml"/><Relationship Id="rId10" Type="http://schemas.openxmlformats.org/officeDocument/2006/relationships/ctrlProp" Target="../ctrlProps/ctrlProp51.xml"/><Relationship Id="rId52" Type="http://schemas.openxmlformats.org/officeDocument/2006/relationships/ctrlProp" Target="../ctrlProps/ctrlProp93.xml"/><Relationship Id="rId94" Type="http://schemas.openxmlformats.org/officeDocument/2006/relationships/ctrlProp" Target="../ctrlProps/ctrlProp135.xml"/><Relationship Id="rId148" Type="http://schemas.openxmlformats.org/officeDocument/2006/relationships/ctrlProp" Target="../ctrlProps/ctrlProp189.xml"/><Relationship Id="rId355" Type="http://schemas.openxmlformats.org/officeDocument/2006/relationships/ctrlProp" Target="../ctrlProps/ctrlProp396.xml"/><Relationship Id="rId397" Type="http://schemas.openxmlformats.org/officeDocument/2006/relationships/ctrlProp" Target="../ctrlProps/ctrlProp438.xml"/><Relationship Id="rId520" Type="http://schemas.openxmlformats.org/officeDocument/2006/relationships/ctrlProp" Target="../ctrlProps/ctrlProp561.xml"/><Relationship Id="rId562" Type="http://schemas.openxmlformats.org/officeDocument/2006/relationships/ctrlProp" Target="../ctrlProps/ctrlProp603.xml"/><Relationship Id="rId618" Type="http://schemas.openxmlformats.org/officeDocument/2006/relationships/ctrlProp" Target="../ctrlProps/ctrlProp659.xml"/><Relationship Id="rId825" Type="http://schemas.openxmlformats.org/officeDocument/2006/relationships/ctrlProp" Target="../ctrlProps/ctrlProp866.xml"/><Relationship Id="rId215" Type="http://schemas.openxmlformats.org/officeDocument/2006/relationships/ctrlProp" Target="../ctrlProps/ctrlProp256.xml"/><Relationship Id="rId257" Type="http://schemas.openxmlformats.org/officeDocument/2006/relationships/ctrlProp" Target="../ctrlProps/ctrlProp298.xml"/><Relationship Id="rId422" Type="http://schemas.openxmlformats.org/officeDocument/2006/relationships/ctrlProp" Target="../ctrlProps/ctrlProp463.xml"/><Relationship Id="rId464" Type="http://schemas.openxmlformats.org/officeDocument/2006/relationships/ctrlProp" Target="../ctrlProps/ctrlProp505.xml"/><Relationship Id="rId867" Type="http://schemas.openxmlformats.org/officeDocument/2006/relationships/ctrlProp" Target="../ctrlProps/ctrlProp908.xml"/><Relationship Id="rId299" Type="http://schemas.openxmlformats.org/officeDocument/2006/relationships/ctrlProp" Target="../ctrlProps/ctrlProp340.xml"/><Relationship Id="rId727" Type="http://schemas.openxmlformats.org/officeDocument/2006/relationships/ctrlProp" Target="../ctrlProps/ctrlProp768.xml"/><Relationship Id="rId63" Type="http://schemas.openxmlformats.org/officeDocument/2006/relationships/ctrlProp" Target="../ctrlProps/ctrlProp104.xml"/><Relationship Id="rId159" Type="http://schemas.openxmlformats.org/officeDocument/2006/relationships/ctrlProp" Target="../ctrlProps/ctrlProp200.xml"/><Relationship Id="rId366" Type="http://schemas.openxmlformats.org/officeDocument/2006/relationships/ctrlProp" Target="../ctrlProps/ctrlProp407.xml"/><Relationship Id="rId573" Type="http://schemas.openxmlformats.org/officeDocument/2006/relationships/ctrlProp" Target="../ctrlProps/ctrlProp614.xml"/><Relationship Id="rId780" Type="http://schemas.openxmlformats.org/officeDocument/2006/relationships/ctrlProp" Target="../ctrlProps/ctrlProp821.xml"/><Relationship Id="rId226" Type="http://schemas.openxmlformats.org/officeDocument/2006/relationships/ctrlProp" Target="../ctrlProps/ctrlProp267.xml"/><Relationship Id="rId433" Type="http://schemas.openxmlformats.org/officeDocument/2006/relationships/ctrlProp" Target="../ctrlProps/ctrlProp474.xml"/><Relationship Id="rId878" Type="http://schemas.openxmlformats.org/officeDocument/2006/relationships/ctrlProp" Target="../ctrlProps/ctrlProp919.xml"/><Relationship Id="rId640" Type="http://schemas.openxmlformats.org/officeDocument/2006/relationships/ctrlProp" Target="../ctrlProps/ctrlProp681.xml"/><Relationship Id="rId738" Type="http://schemas.openxmlformats.org/officeDocument/2006/relationships/ctrlProp" Target="../ctrlProps/ctrlProp779.xml"/><Relationship Id="rId74" Type="http://schemas.openxmlformats.org/officeDocument/2006/relationships/ctrlProp" Target="../ctrlProps/ctrlProp115.xml"/><Relationship Id="rId377" Type="http://schemas.openxmlformats.org/officeDocument/2006/relationships/ctrlProp" Target="../ctrlProps/ctrlProp418.xml"/><Relationship Id="rId500" Type="http://schemas.openxmlformats.org/officeDocument/2006/relationships/ctrlProp" Target="../ctrlProps/ctrlProp541.xml"/><Relationship Id="rId584" Type="http://schemas.openxmlformats.org/officeDocument/2006/relationships/ctrlProp" Target="../ctrlProps/ctrlProp625.xml"/><Relationship Id="rId805" Type="http://schemas.openxmlformats.org/officeDocument/2006/relationships/ctrlProp" Target="../ctrlProps/ctrlProp846.xml"/><Relationship Id="rId5" Type="http://schemas.openxmlformats.org/officeDocument/2006/relationships/image" Target="../media/image4.emf"/><Relationship Id="rId237" Type="http://schemas.openxmlformats.org/officeDocument/2006/relationships/ctrlProp" Target="../ctrlProps/ctrlProp278.xml"/><Relationship Id="rId791" Type="http://schemas.openxmlformats.org/officeDocument/2006/relationships/ctrlProp" Target="../ctrlProps/ctrlProp832.xml"/><Relationship Id="rId889" Type="http://schemas.openxmlformats.org/officeDocument/2006/relationships/ctrlProp" Target="../ctrlProps/ctrlProp930.xml"/><Relationship Id="rId444" Type="http://schemas.openxmlformats.org/officeDocument/2006/relationships/ctrlProp" Target="../ctrlProps/ctrlProp485.xml"/><Relationship Id="rId651" Type="http://schemas.openxmlformats.org/officeDocument/2006/relationships/ctrlProp" Target="../ctrlProps/ctrlProp692.xml"/><Relationship Id="rId749" Type="http://schemas.openxmlformats.org/officeDocument/2006/relationships/ctrlProp" Target="../ctrlProps/ctrlProp790.xml"/><Relationship Id="rId290" Type="http://schemas.openxmlformats.org/officeDocument/2006/relationships/ctrlProp" Target="../ctrlProps/ctrlProp331.xml"/><Relationship Id="rId304" Type="http://schemas.openxmlformats.org/officeDocument/2006/relationships/ctrlProp" Target="../ctrlProps/ctrlProp345.xml"/><Relationship Id="rId388" Type="http://schemas.openxmlformats.org/officeDocument/2006/relationships/ctrlProp" Target="../ctrlProps/ctrlProp429.xml"/><Relationship Id="rId511" Type="http://schemas.openxmlformats.org/officeDocument/2006/relationships/ctrlProp" Target="../ctrlProps/ctrlProp552.xml"/><Relationship Id="rId609" Type="http://schemas.openxmlformats.org/officeDocument/2006/relationships/ctrlProp" Target="../ctrlProps/ctrlProp650.xml"/><Relationship Id="rId85" Type="http://schemas.openxmlformats.org/officeDocument/2006/relationships/ctrlProp" Target="../ctrlProps/ctrlProp126.xml"/><Relationship Id="rId150" Type="http://schemas.openxmlformats.org/officeDocument/2006/relationships/ctrlProp" Target="../ctrlProps/ctrlProp191.xml"/><Relationship Id="rId595" Type="http://schemas.openxmlformats.org/officeDocument/2006/relationships/ctrlProp" Target="../ctrlProps/ctrlProp636.xml"/><Relationship Id="rId816" Type="http://schemas.openxmlformats.org/officeDocument/2006/relationships/ctrlProp" Target="../ctrlProps/ctrlProp857.xml"/><Relationship Id="rId248" Type="http://schemas.openxmlformats.org/officeDocument/2006/relationships/ctrlProp" Target="../ctrlProps/ctrlProp289.xml"/><Relationship Id="rId455" Type="http://schemas.openxmlformats.org/officeDocument/2006/relationships/ctrlProp" Target="../ctrlProps/ctrlProp496.xml"/><Relationship Id="rId662" Type="http://schemas.openxmlformats.org/officeDocument/2006/relationships/ctrlProp" Target="../ctrlProps/ctrlProp703.xml"/><Relationship Id="rId12" Type="http://schemas.openxmlformats.org/officeDocument/2006/relationships/ctrlProp" Target="../ctrlProps/ctrlProp53.xml"/><Relationship Id="rId108" Type="http://schemas.openxmlformats.org/officeDocument/2006/relationships/ctrlProp" Target="../ctrlProps/ctrlProp149.xml"/><Relationship Id="rId315" Type="http://schemas.openxmlformats.org/officeDocument/2006/relationships/ctrlProp" Target="../ctrlProps/ctrlProp356.xml"/><Relationship Id="rId522" Type="http://schemas.openxmlformats.org/officeDocument/2006/relationships/ctrlProp" Target="../ctrlProps/ctrlProp563.xml"/><Relationship Id="rId96" Type="http://schemas.openxmlformats.org/officeDocument/2006/relationships/ctrlProp" Target="../ctrlProps/ctrlProp137.xml"/><Relationship Id="rId161" Type="http://schemas.openxmlformats.org/officeDocument/2006/relationships/ctrlProp" Target="../ctrlProps/ctrlProp202.xml"/><Relationship Id="rId399" Type="http://schemas.openxmlformats.org/officeDocument/2006/relationships/ctrlProp" Target="../ctrlProps/ctrlProp440.xml"/><Relationship Id="rId827" Type="http://schemas.openxmlformats.org/officeDocument/2006/relationships/ctrlProp" Target="../ctrlProps/ctrlProp868.xml"/><Relationship Id="rId259" Type="http://schemas.openxmlformats.org/officeDocument/2006/relationships/ctrlProp" Target="../ctrlProps/ctrlProp300.xml"/><Relationship Id="rId466" Type="http://schemas.openxmlformats.org/officeDocument/2006/relationships/ctrlProp" Target="../ctrlProps/ctrlProp507.xml"/><Relationship Id="rId673" Type="http://schemas.openxmlformats.org/officeDocument/2006/relationships/ctrlProp" Target="../ctrlProps/ctrlProp714.xml"/><Relationship Id="rId880" Type="http://schemas.openxmlformats.org/officeDocument/2006/relationships/ctrlProp" Target="../ctrlProps/ctrlProp921.xml"/><Relationship Id="rId23" Type="http://schemas.openxmlformats.org/officeDocument/2006/relationships/ctrlProp" Target="../ctrlProps/ctrlProp64.xml"/><Relationship Id="rId119" Type="http://schemas.openxmlformats.org/officeDocument/2006/relationships/ctrlProp" Target="../ctrlProps/ctrlProp160.xml"/><Relationship Id="rId326" Type="http://schemas.openxmlformats.org/officeDocument/2006/relationships/ctrlProp" Target="../ctrlProps/ctrlProp367.xml"/><Relationship Id="rId533" Type="http://schemas.openxmlformats.org/officeDocument/2006/relationships/ctrlProp" Target="../ctrlProps/ctrlProp574.xml"/><Relationship Id="rId740" Type="http://schemas.openxmlformats.org/officeDocument/2006/relationships/ctrlProp" Target="../ctrlProps/ctrlProp781.xml"/><Relationship Id="rId838" Type="http://schemas.openxmlformats.org/officeDocument/2006/relationships/ctrlProp" Target="../ctrlProps/ctrlProp879.xml"/><Relationship Id="rId172" Type="http://schemas.openxmlformats.org/officeDocument/2006/relationships/ctrlProp" Target="../ctrlProps/ctrlProp213.xml"/><Relationship Id="rId477" Type="http://schemas.openxmlformats.org/officeDocument/2006/relationships/ctrlProp" Target="../ctrlProps/ctrlProp518.xml"/><Relationship Id="rId600" Type="http://schemas.openxmlformats.org/officeDocument/2006/relationships/ctrlProp" Target="../ctrlProps/ctrlProp641.xml"/><Relationship Id="rId684" Type="http://schemas.openxmlformats.org/officeDocument/2006/relationships/ctrlProp" Target="../ctrlProps/ctrlProp725.xml"/><Relationship Id="rId337" Type="http://schemas.openxmlformats.org/officeDocument/2006/relationships/ctrlProp" Target="../ctrlProps/ctrlProp378.xml"/><Relationship Id="rId891" Type="http://schemas.openxmlformats.org/officeDocument/2006/relationships/ctrlProp" Target="../ctrlProps/ctrlProp932.xml"/><Relationship Id="rId905" Type="http://schemas.openxmlformats.org/officeDocument/2006/relationships/ctrlProp" Target="../ctrlProps/ctrlProp946.xml"/><Relationship Id="rId34" Type="http://schemas.openxmlformats.org/officeDocument/2006/relationships/ctrlProp" Target="../ctrlProps/ctrlProp75.xml"/><Relationship Id="rId544" Type="http://schemas.openxmlformats.org/officeDocument/2006/relationships/ctrlProp" Target="../ctrlProps/ctrlProp585.xml"/><Relationship Id="rId751" Type="http://schemas.openxmlformats.org/officeDocument/2006/relationships/ctrlProp" Target="../ctrlProps/ctrlProp792.xml"/><Relationship Id="rId849" Type="http://schemas.openxmlformats.org/officeDocument/2006/relationships/ctrlProp" Target="../ctrlProps/ctrlProp890.xml"/><Relationship Id="rId183" Type="http://schemas.openxmlformats.org/officeDocument/2006/relationships/ctrlProp" Target="../ctrlProps/ctrlProp224.xml"/><Relationship Id="rId390" Type="http://schemas.openxmlformats.org/officeDocument/2006/relationships/ctrlProp" Target="../ctrlProps/ctrlProp431.xml"/><Relationship Id="rId404" Type="http://schemas.openxmlformats.org/officeDocument/2006/relationships/ctrlProp" Target="../ctrlProps/ctrlProp445.xml"/><Relationship Id="rId611" Type="http://schemas.openxmlformats.org/officeDocument/2006/relationships/ctrlProp" Target="../ctrlProps/ctrlProp652.xml"/><Relationship Id="rId250" Type="http://schemas.openxmlformats.org/officeDocument/2006/relationships/ctrlProp" Target="../ctrlProps/ctrlProp291.xml"/><Relationship Id="rId488" Type="http://schemas.openxmlformats.org/officeDocument/2006/relationships/ctrlProp" Target="../ctrlProps/ctrlProp529.xml"/><Relationship Id="rId695" Type="http://schemas.openxmlformats.org/officeDocument/2006/relationships/ctrlProp" Target="../ctrlProps/ctrlProp736.xml"/><Relationship Id="rId709" Type="http://schemas.openxmlformats.org/officeDocument/2006/relationships/ctrlProp" Target="../ctrlProps/ctrlProp750.xml"/><Relationship Id="rId45" Type="http://schemas.openxmlformats.org/officeDocument/2006/relationships/ctrlProp" Target="../ctrlProps/ctrlProp86.xml"/><Relationship Id="rId110" Type="http://schemas.openxmlformats.org/officeDocument/2006/relationships/ctrlProp" Target="../ctrlProps/ctrlProp151.xml"/><Relationship Id="rId348" Type="http://schemas.openxmlformats.org/officeDocument/2006/relationships/ctrlProp" Target="../ctrlProps/ctrlProp389.xml"/><Relationship Id="rId555" Type="http://schemas.openxmlformats.org/officeDocument/2006/relationships/ctrlProp" Target="../ctrlProps/ctrlProp596.xml"/><Relationship Id="rId762" Type="http://schemas.openxmlformats.org/officeDocument/2006/relationships/ctrlProp" Target="../ctrlProps/ctrlProp803.xml"/><Relationship Id="rId194" Type="http://schemas.openxmlformats.org/officeDocument/2006/relationships/ctrlProp" Target="../ctrlProps/ctrlProp235.xml"/><Relationship Id="rId208" Type="http://schemas.openxmlformats.org/officeDocument/2006/relationships/ctrlProp" Target="../ctrlProps/ctrlProp249.xml"/><Relationship Id="rId415" Type="http://schemas.openxmlformats.org/officeDocument/2006/relationships/ctrlProp" Target="../ctrlProps/ctrlProp456.xml"/><Relationship Id="rId622" Type="http://schemas.openxmlformats.org/officeDocument/2006/relationships/ctrlProp" Target="../ctrlProps/ctrlProp663.xml"/><Relationship Id="rId261" Type="http://schemas.openxmlformats.org/officeDocument/2006/relationships/ctrlProp" Target="../ctrlProps/ctrlProp302.xml"/><Relationship Id="rId499" Type="http://schemas.openxmlformats.org/officeDocument/2006/relationships/ctrlProp" Target="../ctrlProps/ctrlProp540.xml"/><Relationship Id="rId56" Type="http://schemas.openxmlformats.org/officeDocument/2006/relationships/ctrlProp" Target="../ctrlProps/ctrlProp97.xml"/><Relationship Id="rId359" Type="http://schemas.openxmlformats.org/officeDocument/2006/relationships/ctrlProp" Target="../ctrlProps/ctrlProp400.xml"/><Relationship Id="rId566" Type="http://schemas.openxmlformats.org/officeDocument/2006/relationships/ctrlProp" Target="../ctrlProps/ctrlProp607.xml"/><Relationship Id="rId773" Type="http://schemas.openxmlformats.org/officeDocument/2006/relationships/ctrlProp" Target="../ctrlProps/ctrlProp814.xml"/><Relationship Id="rId121" Type="http://schemas.openxmlformats.org/officeDocument/2006/relationships/ctrlProp" Target="../ctrlProps/ctrlProp162.xml"/><Relationship Id="rId219" Type="http://schemas.openxmlformats.org/officeDocument/2006/relationships/ctrlProp" Target="../ctrlProps/ctrlProp260.xml"/><Relationship Id="rId426" Type="http://schemas.openxmlformats.org/officeDocument/2006/relationships/ctrlProp" Target="../ctrlProps/ctrlProp467.xml"/><Relationship Id="rId633" Type="http://schemas.openxmlformats.org/officeDocument/2006/relationships/ctrlProp" Target="../ctrlProps/ctrlProp67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B1:AL48"/>
  <sheetViews>
    <sheetView workbookViewId="0">
      <selection activeCell="U8" sqref="U8:Y9"/>
    </sheetView>
  </sheetViews>
  <sheetFormatPr defaultRowHeight="15" x14ac:dyDescent="0.25"/>
  <cols>
    <col min="1" max="1" width="7.5703125" customWidth="1"/>
    <col min="4" max="4" width="11.42578125" customWidth="1"/>
    <col min="5" max="5" width="11" customWidth="1"/>
    <col min="12" max="12" width="9.7109375" customWidth="1"/>
    <col min="15" max="15" width="16.140625" customWidth="1"/>
  </cols>
  <sheetData>
    <row r="1" spans="2:38" ht="15.75" thickBot="1" x14ac:dyDescent="0.3"/>
    <row r="2" spans="2:38" ht="15" customHeight="1" x14ac:dyDescent="0.25">
      <c r="B2" s="140" t="s">
        <v>172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2"/>
    </row>
    <row r="3" spans="2:38" ht="15.75" customHeight="1" thickBot="1" x14ac:dyDescent="0.3">
      <c r="B3" s="143"/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5"/>
    </row>
    <row r="5" spans="2:38" ht="15.75" thickBot="1" x14ac:dyDescent="0.3"/>
    <row r="6" spans="2:38" x14ac:dyDescent="0.25">
      <c r="B6" s="170" t="s">
        <v>174</v>
      </c>
      <c r="C6" s="171"/>
      <c r="D6" s="171"/>
      <c r="E6" s="171"/>
      <c r="F6" s="172"/>
      <c r="H6" s="128" t="s">
        <v>173</v>
      </c>
      <c r="I6" s="129"/>
      <c r="J6" s="129"/>
      <c r="K6" s="129"/>
      <c r="L6" s="129"/>
      <c r="M6" s="130"/>
      <c r="O6" s="152" t="s">
        <v>12</v>
      </c>
      <c r="P6" s="153"/>
      <c r="Q6" s="153"/>
      <c r="R6" s="153"/>
      <c r="S6" s="154"/>
      <c r="U6" s="146" t="str">
        <f>Activity!L3</f>
        <v>Bonus Eligible!</v>
      </c>
      <c r="V6" s="147"/>
      <c r="W6" s="147"/>
      <c r="X6" s="147"/>
      <c r="Y6" s="148"/>
    </row>
    <row r="7" spans="2:38" ht="15.75" thickBot="1" x14ac:dyDescent="0.3">
      <c r="B7" s="173"/>
      <c r="C7" s="174"/>
      <c r="D7" s="174"/>
      <c r="E7" s="174"/>
      <c r="F7" s="175"/>
      <c r="H7" s="131"/>
      <c r="I7" s="132"/>
      <c r="J7" s="132"/>
      <c r="K7" s="132"/>
      <c r="L7" s="132"/>
      <c r="M7" s="133"/>
      <c r="O7" s="155"/>
      <c r="P7" s="156"/>
      <c r="Q7" s="156"/>
      <c r="R7" s="156"/>
      <c r="S7" s="157"/>
      <c r="U7" s="149"/>
      <c r="V7" s="150"/>
      <c r="W7" s="150"/>
      <c r="X7" s="150"/>
      <c r="Y7" s="151"/>
    </row>
    <row r="8" spans="2:38" x14ac:dyDescent="0.25">
      <c r="B8" s="134">
        <f>'Input Sheet'!I31</f>
        <v>2775</v>
      </c>
      <c r="C8" s="135"/>
      <c r="D8" s="135"/>
      <c r="E8" s="135"/>
      <c r="F8" s="136"/>
      <c r="H8" s="134">
        <f>'Input Sheet'!S31</f>
        <v>10003</v>
      </c>
      <c r="I8" s="135"/>
      <c r="J8" s="135"/>
      <c r="K8" s="135"/>
      <c r="L8" s="135"/>
      <c r="M8" s="136"/>
      <c r="O8" s="158">
        <f ca="1">'Bonus Calc'!B28</f>
        <v>0</v>
      </c>
      <c r="P8" s="159"/>
      <c r="Q8" s="159"/>
      <c r="R8" s="159"/>
      <c r="S8" s="160"/>
      <c r="U8" s="146" t="str">
        <f>IF(AND((G21=0),(J21=0),(M19&gt;M14-0.1)),"Monthly Metrics Complete","Monthly Metrics Incomplete")</f>
        <v>Monthly Metrics Incomplete</v>
      </c>
      <c r="V8" s="147"/>
      <c r="W8" s="147"/>
      <c r="X8" s="147"/>
      <c r="Y8" s="148"/>
    </row>
    <row r="9" spans="2:38" ht="15.75" thickBot="1" x14ac:dyDescent="0.3">
      <c r="B9" s="137"/>
      <c r="C9" s="138"/>
      <c r="D9" s="138"/>
      <c r="E9" s="138"/>
      <c r="F9" s="139"/>
      <c r="H9" s="137"/>
      <c r="I9" s="138"/>
      <c r="J9" s="138"/>
      <c r="K9" s="138"/>
      <c r="L9" s="138"/>
      <c r="M9" s="139"/>
      <c r="O9" s="161"/>
      <c r="P9" s="162"/>
      <c r="Q9" s="162"/>
      <c r="R9" s="162"/>
      <c r="S9" s="163"/>
      <c r="U9" s="149"/>
      <c r="V9" s="150"/>
      <c r="W9" s="150"/>
      <c r="X9" s="150"/>
      <c r="Y9" s="151"/>
    </row>
    <row r="11" spans="2:38" ht="15.75" thickBot="1" x14ac:dyDescent="0.3">
      <c r="AL11">
        <f>G19/G14</f>
        <v>0</v>
      </c>
    </row>
    <row r="12" spans="2:38" x14ac:dyDescent="0.25">
      <c r="B12" s="234" t="s">
        <v>155</v>
      </c>
      <c r="C12" s="235"/>
      <c r="D12" s="236"/>
      <c r="F12" s="246" t="s">
        <v>46</v>
      </c>
      <c r="G12" s="247"/>
      <c r="I12" s="250" t="s">
        <v>48</v>
      </c>
      <c r="J12" s="251"/>
      <c r="L12" s="242" t="s">
        <v>47</v>
      </c>
      <c r="M12" s="243"/>
      <c r="O12" s="234" t="s">
        <v>156</v>
      </c>
      <c r="P12" s="235"/>
      <c r="Q12" s="235"/>
      <c r="R12" s="235"/>
      <c r="S12" s="236"/>
      <c r="AL12">
        <f>J19/J14</f>
        <v>0</v>
      </c>
    </row>
    <row r="13" spans="2:38" ht="15.75" thickBot="1" x14ac:dyDescent="0.3">
      <c r="B13" s="237"/>
      <c r="C13" s="238"/>
      <c r="D13" s="239"/>
      <c r="F13" s="248"/>
      <c r="G13" s="249"/>
      <c r="I13" s="252"/>
      <c r="J13" s="253"/>
      <c r="L13" s="244"/>
      <c r="M13" s="245"/>
      <c r="O13" s="237"/>
      <c r="P13" s="238"/>
      <c r="Q13" s="238"/>
      <c r="R13" s="238"/>
      <c r="S13" s="239"/>
      <c r="AL13">
        <f>M19/M14</f>
        <v>0</v>
      </c>
    </row>
    <row r="14" spans="2:38" x14ac:dyDescent="0.25">
      <c r="B14" s="230" t="s">
        <v>21</v>
      </c>
      <c r="C14" s="222">
        <v>0</v>
      </c>
      <c r="D14" s="223"/>
      <c r="F14" s="240" t="s">
        <v>152</v>
      </c>
      <c r="G14" s="206">
        <f>IFERROR(SUM(C14+C16+C18),0)</f>
        <v>60</v>
      </c>
      <c r="I14" s="240" t="s">
        <v>152</v>
      </c>
      <c r="J14" s="206">
        <f>IFERROR(SUM(((C16*12)+(C18*4))/12),0)</f>
        <v>42</v>
      </c>
      <c r="L14" s="240" t="s">
        <v>152</v>
      </c>
      <c r="M14" s="206">
        <f>IFERROR(SUM(((D16*2)+(C14*12))/12),0)</f>
        <v>5.166666666666667</v>
      </c>
      <c r="O14" s="97" t="s">
        <v>45</v>
      </c>
      <c r="P14" s="95" t="s">
        <v>21</v>
      </c>
      <c r="Q14" s="7" t="s">
        <v>20</v>
      </c>
      <c r="R14" s="79" t="s">
        <v>19</v>
      </c>
      <c r="S14" s="96" t="s">
        <v>18</v>
      </c>
    </row>
    <row r="15" spans="2:38" ht="15.75" thickBot="1" x14ac:dyDescent="0.3">
      <c r="B15" s="231"/>
      <c r="C15" s="224"/>
      <c r="D15" s="225"/>
      <c r="F15" s="241"/>
      <c r="G15" s="207"/>
      <c r="I15" s="241"/>
      <c r="J15" s="207"/>
      <c r="L15" s="241"/>
      <c r="M15" s="207"/>
      <c r="O15" s="98" t="s">
        <v>44</v>
      </c>
      <c r="P15" s="102" t="s">
        <v>50</v>
      </c>
      <c r="Q15" s="103" t="s">
        <v>50</v>
      </c>
      <c r="R15" s="102" t="s">
        <v>50</v>
      </c>
      <c r="S15" s="104" t="s">
        <v>50</v>
      </c>
    </row>
    <row r="16" spans="2:38" x14ac:dyDescent="0.25">
      <c r="B16" s="232" t="s">
        <v>20</v>
      </c>
      <c r="C16" s="222">
        <v>33</v>
      </c>
      <c r="D16" s="223">
        <v>31</v>
      </c>
      <c r="F16" s="240" t="s">
        <v>153</v>
      </c>
      <c r="G16" s="206">
        <f>IFERROR(SUM((C14+C16+C18)/20),0)</f>
        <v>3</v>
      </c>
      <c r="I16" s="240" t="s">
        <v>153</v>
      </c>
      <c r="J16" s="206">
        <f>IFERROR(SUM((((C16*12)+(C18*4))/12)/20),0)</f>
        <v>2.1</v>
      </c>
      <c r="L16" s="240" t="s">
        <v>154</v>
      </c>
      <c r="M16" s="206">
        <f>IFERROR(SUM(((D16*2)+(C14*12))/4),0)</f>
        <v>15.5</v>
      </c>
      <c r="O16" s="99" t="s">
        <v>46</v>
      </c>
      <c r="P16" s="105">
        <f>C14</f>
        <v>0</v>
      </c>
      <c r="Q16" s="106">
        <f>C16</f>
        <v>33</v>
      </c>
      <c r="R16" s="105">
        <f>C18</f>
        <v>27</v>
      </c>
      <c r="S16" s="107" t="s">
        <v>51</v>
      </c>
    </row>
    <row r="17" spans="2:19" ht="15.75" thickBot="1" x14ac:dyDescent="0.3">
      <c r="B17" s="233"/>
      <c r="C17" s="224"/>
      <c r="D17" s="225"/>
      <c r="F17" s="241"/>
      <c r="G17" s="207"/>
      <c r="I17" s="241"/>
      <c r="J17" s="207"/>
      <c r="L17" s="241"/>
      <c r="M17" s="207"/>
      <c r="O17" s="100" t="s">
        <v>47</v>
      </c>
      <c r="P17" s="108">
        <f>IFERROR(SUM(C14*12),0)</f>
        <v>0</v>
      </c>
      <c r="Q17" s="105">
        <f>IFERROR(SUM((C16*2)/12),0)</f>
        <v>5.5</v>
      </c>
      <c r="R17" s="105" t="s">
        <v>52</v>
      </c>
      <c r="S17" s="109" t="s">
        <v>51</v>
      </c>
    </row>
    <row r="18" spans="2:19" ht="15.75" thickBot="1" x14ac:dyDescent="0.3">
      <c r="B18" s="228" t="s">
        <v>19</v>
      </c>
      <c r="C18" s="222">
        <v>27</v>
      </c>
      <c r="D18" s="223"/>
      <c r="O18" s="100" t="s">
        <v>48</v>
      </c>
      <c r="P18" s="105" t="s">
        <v>51</v>
      </c>
      <c r="Q18" s="105">
        <f>C16</f>
        <v>33</v>
      </c>
      <c r="R18" s="105">
        <f>IFERROR(SUM((C18*4)/12),0)</f>
        <v>9</v>
      </c>
      <c r="S18" s="107" t="s">
        <v>51</v>
      </c>
    </row>
    <row r="19" spans="2:19" ht="15.75" thickBot="1" x14ac:dyDescent="0.3">
      <c r="B19" s="229"/>
      <c r="C19" s="224"/>
      <c r="D19" s="225"/>
      <c r="F19" s="178" t="s">
        <v>159</v>
      </c>
      <c r="G19" s="180">
        <f>Activity!G6</f>
        <v>0</v>
      </c>
      <c r="I19" s="178" t="s">
        <v>161</v>
      </c>
      <c r="J19" s="180">
        <f>Activity!G5</f>
        <v>0</v>
      </c>
      <c r="L19" s="178" t="s">
        <v>163</v>
      </c>
      <c r="M19" s="176">
        <f>Activity!G4</f>
        <v>0</v>
      </c>
      <c r="O19" s="101" t="s">
        <v>49</v>
      </c>
      <c r="P19" s="110">
        <f>IFERROR(SUM((C14*52)/12),0)</f>
        <v>0</v>
      </c>
      <c r="Q19" s="111" t="s">
        <v>51</v>
      </c>
      <c r="R19" s="110" t="s">
        <v>51</v>
      </c>
      <c r="S19" s="112" t="s">
        <v>51</v>
      </c>
    </row>
    <row r="20" spans="2:19" ht="15.75" thickBot="1" x14ac:dyDescent="0.3">
      <c r="B20" s="226" t="s">
        <v>18</v>
      </c>
      <c r="C20" s="222">
        <v>24</v>
      </c>
      <c r="D20" s="223"/>
      <c r="F20" s="179"/>
      <c r="G20" s="181"/>
      <c r="I20" s="179"/>
      <c r="J20" s="181"/>
      <c r="L20" s="179"/>
      <c r="M20" s="177"/>
    </row>
    <row r="21" spans="2:19" ht="15.75" thickBot="1" x14ac:dyDescent="0.3">
      <c r="B21" s="227"/>
      <c r="C21" s="224"/>
      <c r="D21" s="225"/>
      <c r="F21" s="178" t="s">
        <v>160</v>
      </c>
      <c r="G21" s="180">
        <f>MAX(0,SUM(G14-G19))</f>
        <v>60</v>
      </c>
      <c r="I21" s="178" t="s">
        <v>162</v>
      </c>
      <c r="J21" s="180">
        <f>MAX(0,SUM(J14-J19))</f>
        <v>42</v>
      </c>
      <c r="L21" s="178" t="s">
        <v>164</v>
      </c>
      <c r="M21" s="180">
        <f>MAX(0,SUM(M14-M19))</f>
        <v>5.166666666666667</v>
      </c>
    </row>
    <row r="22" spans="2:19" ht="15.75" thickBot="1" x14ac:dyDescent="0.3">
      <c r="B22" s="220" t="s">
        <v>151</v>
      </c>
      <c r="C22" s="216">
        <f>IFERROR(SUM(C14+C16+C18+C20),0)</f>
        <v>84</v>
      </c>
      <c r="D22" s="217"/>
      <c r="F22" s="179"/>
      <c r="G22" s="181"/>
      <c r="I22" s="179"/>
      <c r="J22" s="181"/>
      <c r="L22" s="179"/>
      <c r="M22" s="181"/>
    </row>
    <row r="23" spans="2:19" ht="15.75" thickBot="1" x14ac:dyDescent="0.3">
      <c r="B23" s="221"/>
      <c r="C23" s="218"/>
      <c r="D23" s="219"/>
    </row>
    <row r="24" spans="2:19" ht="15" customHeight="1" x14ac:dyDescent="0.25"/>
    <row r="25" spans="2:19" ht="15" customHeight="1" thickBot="1" x14ac:dyDescent="0.3"/>
    <row r="26" spans="2:19" ht="15" customHeight="1" x14ac:dyDescent="0.25">
      <c r="B26" s="164" t="s">
        <v>176</v>
      </c>
      <c r="C26" s="165"/>
      <c r="D26" s="165"/>
      <c r="E26" s="166"/>
      <c r="G26" s="188" t="s">
        <v>158</v>
      </c>
      <c r="H26" s="189"/>
      <c r="I26" s="190"/>
      <c r="K26" s="182" t="s">
        <v>165</v>
      </c>
      <c r="L26" s="183"/>
      <c r="M26" s="184"/>
    </row>
    <row r="27" spans="2:19" ht="15.75" thickBot="1" x14ac:dyDescent="0.3">
      <c r="B27" s="167"/>
      <c r="C27" s="168"/>
      <c r="D27" s="168"/>
      <c r="E27" s="169"/>
      <c r="G27" s="191"/>
      <c r="H27" s="192"/>
      <c r="I27" s="193"/>
      <c r="K27" s="185"/>
      <c r="L27" s="186"/>
      <c r="M27" s="187"/>
    </row>
    <row r="28" spans="2:19" ht="15" customHeight="1" x14ac:dyDescent="0.25">
      <c r="B28" s="194" t="s">
        <v>59</v>
      </c>
      <c r="C28" s="195"/>
      <c r="D28" s="113">
        <f>COUNTIF('Projected Cancellations'!B8:'Projected Cancellations'!B35,"*")</f>
        <v>5</v>
      </c>
      <c r="E28" s="114">
        <f>'Projected Cancellations'!F36</f>
        <v>8718.4</v>
      </c>
      <c r="G28" s="204" t="s">
        <v>170</v>
      </c>
      <c r="H28" s="205"/>
      <c r="I28" s="115">
        <f>COUNTIF('At-Risk'!I6:'At-Risk'!I33,"CSM-In Progress")</f>
        <v>7</v>
      </c>
      <c r="K28" s="198">
        <f>IFERROR(SUM('At-Risk'!G6:'At-Risk'!G33)-K32,0)</f>
        <v>24294.139999999992</v>
      </c>
      <c r="L28" s="199"/>
      <c r="M28" s="200"/>
    </row>
    <row r="29" spans="2:19" ht="15.75" thickBot="1" x14ac:dyDescent="0.3">
      <c r="B29" s="194" t="s">
        <v>60</v>
      </c>
      <c r="C29" s="195"/>
      <c r="D29" s="113">
        <f>COUNTIF('Projected Cancellations'!H8:'Projected Cancellations'!H35,"*")</f>
        <v>7</v>
      </c>
      <c r="E29" s="117">
        <f>'Projected Cancellations'!L36</f>
        <v>9386</v>
      </c>
      <c r="G29" s="194" t="s">
        <v>167</v>
      </c>
      <c r="H29" s="195"/>
      <c r="I29" s="113">
        <f>COUNTIF('At-Risk'!I6:'At-Risk'!I33,"CSM-Leader-Review")</f>
        <v>0</v>
      </c>
      <c r="K29" s="201"/>
      <c r="L29" s="202"/>
      <c r="M29" s="203"/>
    </row>
    <row r="30" spans="2:19" ht="15" customHeight="1" x14ac:dyDescent="0.25">
      <c r="B30" s="194" t="s">
        <v>61</v>
      </c>
      <c r="C30" s="195"/>
      <c r="D30" s="113">
        <f>COUNTIF('Projected Cancellations'!N8:'Projected Cancellations'!N35,"*")</f>
        <v>4</v>
      </c>
      <c r="E30" s="117">
        <f>'Projected Cancellations'!R36</f>
        <v>7286.9400000000005</v>
      </c>
      <c r="G30" s="194" t="s">
        <v>168</v>
      </c>
      <c r="H30" s="195"/>
      <c r="I30" s="113">
        <f>COUNTIF('At-Risk'!I6:'At-Risk'!I33,"CET-In Progress")</f>
        <v>0</v>
      </c>
      <c r="K30" s="210" t="s">
        <v>166</v>
      </c>
      <c r="L30" s="211"/>
      <c r="M30" s="212"/>
    </row>
    <row r="31" spans="2:19" ht="15.75" thickBot="1" x14ac:dyDescent="0.3">
      <c r="B31" s="194" t="s">
        <v>62</v>
      </c>
      <c r="C31" s="195"/>
      <c r="D31" s="113">
        <f>COUNTIF('Projected Cancellations'!T8:'Projected Cancellations'!T35,"*")</f>
        <v>2</v>
      </c>
      <c r="E31" s="117">
        <f>'Projected Cancellations'!X36</f>
        <v>6346</v>
      </c>
      <c r="G31" s="194" t="s">
        <v>169</v>
      </c>
      <c r="H31" s="195"/>
      <c r="I31" s="113">
        <f>COUNTIF('At-Risk'!I6:'At-Risk'!I33,"CET-Leader Review")</f>
        <v>1</v>
      </c>
      <c r="K31" s="213"/>
      <c r="L31" s="214"/>
      <c r="M31" s="215"/>
    </row>
    <row r="32" spans="2:19" x14ac:dyDescent="0.25">
      <c r="B32" s="204" t="s">
        <v>175</v>
      </c>
      <c r="C32" s="205"/>
      <c r="D32" s="206">
        <f>IFERROR(SUM(D28:D31),0)</f>
        <v>18</v>
      </c>
      <c r="E32" s="208">
        <f>'Projected Cancellations'!I38</f>
        <v>31737.340000000004</v>
      </c>
      <c r="G32" s="194" t="s">
        <v>171</v>
      </c>
      <c r="H32" s="195"/>
      <c r="I32" s="113">
        <f>COUNTIF('At-Risk'!I6:'At-Risk'!I33,"Move to Cancellation Process")</f>
        <v>5</v>
      </c>
      <c r="K32" s="134">
        <f>SUMIF('At-Risk'!I6:'At-Risk'!I33,"*"&amp;G33&amp;"*",'At-Risk'!G6:'At-Risk'!G33)</f>
        <v>28824</v>
      </c>
      <c r="L32" s="135"/>
      <c r="M32" s="136"/>
    </row>
    <row r="33" spans="2:15" ht="15.75" thickBot="1" x14ac:dyDescent="0.3">
      <c r="B33" s="196"/>
      <c r="C33" s="197"/>
      <c r="D33" s="207"/>
      <c r="E33" s="209"/>
      <c r="G33" s="196" t="s">
        <v>77</v>
      </c>
      <c r="H33" s="197"/>
      <c r="I33" s="116">
        <f>COUNTIF('At-Risk'!I6:'At-Risk'!I33,"Saved")</f>
        <v>5</v>
      </c>
      <c r="K33" s="137"/>
      <c r="L33" s="138"/>
      <c r="M33" s="139"/>
    </row>
    <row r="37" spans="2:15" ht="15.75" thickBot="1" x14ac:dyDescent="0.3"/>
    <row r="38" spans="2:15" ht="15" customHeight="1" x14ac:dyDescent="0.25">
      <c r="B38" s="267" t="s">
        <v>29</v>
      </c>
      <c r="C38" s="268"/>
      <c r="D38" s="268"/>
      <c r="E38" s="268"/>
      <c r="F38" s="268"/>
      <c r="G38" s="269"/>
      <c r="I38" s="254" t="s">
        <v>30</v>
      </c>
      <c r="J38" s="255"/>
      <c r="K38" s="255"/>
      <c r="L38" s="255"/>
      <c r="M38" s="255"/>
      <c r="N38" s="255"/>
      <c r="O38" s="256"/>
    </row>
    <row r="39" spans="2:15" ht="15.75" thickBot="1" x14ac:dyDescent="0.3">
      <c r="B39" s="270"/>
      <c r="C39" s="271"/>
      <c r="D39" s="271"/>
      <c r="E39" s="271"/>
      <c r="F39" s="271"/>
      <c r="G39" s="272"/>
      <c r="I39" s="257"/>
      <c r="J39" s="258"/>
      <c r="K39" s="258"/>
      <c r="L39" s="258"/>
      <c r="M39" s="258"/>
      <c r="N39" s="258"/>
      <c r="O39" s="259"/>
    </row>
    <row r="40" spans="2:15" x14ac:dyDescent="0.25">
      <c r="B40" s="273" t="s">
        <v>18</v>
      </c>
      <c r="C40" s="274"/>
      <c r="D40" s="18" t="s">
        <v>19</v>
      </c>
      <c r="E40" s="19" t="s">
        <v>20</v>
      </c>
      <c r="F40" s="279" t="s">
        <v>21</v>
      </c>
      <c r="G40" s="280"/>
      <c r="I40" s="281" t="s">
        <v>31</v>
      </c>
      <c r="J40" s="282"/>
      <c r="K40" s="282"/>
      <c r="L40" s="282"/>
      <c r="M40" s="282"/>
      <c r="N40" s="282"/>
      <c r="O40" s="283"/>
    </row>
    <row r="41" spans="2:15" x14ac:dyDescent="0.25">
      <c r="B41" s="275" t="s">
        <v>22</v>
      </c>
      <c r="C41" s="276"/>
      <c r="D41" s="290" t="s">
        <v>24</v>
      </c>
      <c r="E41" s="261" t="s">
        <v>24</v>
      </c>
      <c r="F41" s="266" t="s">
        <v>24</v>
      </c>
      <c r="G41" s="266" t="s">
        <v>27</v>
      </c>
      <c r="I41" s="281" t="s">
        <v>32</v>
      </c>
      <c r="J41" s="282"/>
      <c r="K41" s="282"/>
      <c r="L41" s="282"/>
      <c r="M41" s="282"/>
      <c r="N41" s="282"/>
      <c r="O41" s="283"/>
    </row>
    <row r="42" spans="2:15" ht="42.75" customHeight="1" x14ac:dyDescent="0.25">
      <c r="B42" s="277" t="s">
        <v>23</v>
      </c>
      <c r="C42" s="278"/>
      <c r="D42" s="291"/>
      <c r="E42" s="262"/>
      <c r="F42" s="265"/>
      <c r="G42" s="265"/>
      <c r="I42" s="287" t="s">
        <v>33</v>
      </c>
      <c r="J42" s="288"/>
      <c r="K42" s="288"/>
      <c r="L42" s="288"/>
      <c r="M42" s="288"/>
      <c r="N42" s="288"/>
      <c r="O42" s="289"/>
    </row>
    <row r="43" spans="2:15" ht="48.75" customHeight="1" x14ac:dyDescent="0.25">
      <c r="B43" s="118"/>
      <c r="C43" s="118"/>
      <c r="D43" s="292" t="s">
        <v>25</v>
      </c>
      <c r="E43" s="263" t="s">
        <v>26</v>
      </c>
      <c r="F43" s="264" t="s">
        <v>191</v>
      </c>
      <c r="G43" s="264" t="s">
        <v>28</v>
      </c>
      <c r="I43" s="287" t="s">
        <v>34</v>
      </c>
      <c r="J43" s="288"/>
      <c r="K43" s="288"/>
      <c r="L43" s="288"/>
      <c r="M43" s="288"/>
      <c r="N43" s="288"/>
      <c r="O43" s="289"/>
    </row>
    <row r="44" spans="2:15" ht="15" customHeight="1" x14ac:dyDescent="0.25">
      <c r="B44" s="118"/>
      <c r="C44" s="118"/>
      <c r="D44" s="291"/>
      <c r="E44" s="262"/>
      <c r="F44" s="265"/>
      <c r="G44" s="265"/>
      <c r="I44" s="287"/>
      <c r="J44" s="288"/>
      <c r="K44" s="288"/>
      <c r="L44" s="288"/>
      <c r="M44" s="288"/>
      <c r="N44" s="288"/>
      <c r="O44" s="289"/>
    </row>
    <row r="45" spans="2:15" ht="18.75" customHeight="1" x14ac:dyDescent="0.25">
      <c r="I45" s="281" t="s">
        <v>35</v>
      </c>
      <c r="J45" s="282"/>
      <c r="K45" s="282"/>
      <c r="L45" s="282"/>
      <c r="M45" s="282"/>
      <c r="N45" s="282"/>
      <c r="O45" s="283"/>
    </row>
    <row r="46" spans="2:15" x14ac:dyDescent="0.25">
      <c r="H46" s="260"/>
      <c r="I46" s="281" t="s">
        <v>36</v>
      </c>
      <c r="J46" s="282"/>
      <c r="K46" s="282"/>
      <c r="L46" s="282"/>
      <c r="M46" s="282"/>
      <c r="N46" s="282"/>
      <c r="O46" s="283"/>
    </row>
    <row r="47" spans="2:15" x14ac:dyDescent="0.25">
      <c r="H47" s="260"/>
      <c r="I47" s="281" t="s">
        <v>37</v>
      </c>
      <c r="J47" s="282"/>
      <c r="K47" s="282"/>
      <c r="L47" s="282"/>
      <c r="M47" s="282"/>
      <c r="N47" s="282"/>
      <c r="O47" s="283"/>
    </row>
    <row r="48" spans="2:15" ht="15.75" thickBot="1" x14ac:dyDescent="0.3">
      <c r="I48" s="284" t="s">
        <v>38</v>
      </c>
      <c r="J48" s="285"/>
      <c r="K48" s="285"/>
      <c r="L48" s="285"/>
      <c r="M48" s="285"/>
      <c r="N48" s="285"/>
      <c r="O48" s="286"/>
    </row>
  </sheetData>
  <mergeCells count="91">
    <mergeCell ref="I48:O48"/>
    <mergeCell ref="I42:O42"/>
    <mergeCell ref="D41:D42"/>
    <mergeCell ref="D43:D44"/>
    <mergeCell ref="F41:F42"/>
    <mergeCell ref="F43:F44"/>
    <mergeCell ref="I41:O41"/>
    <mergeCell ref="I43:O44"/>
    <mergeCell ref="I45:O45"/>
    <mergeCell ref="I46:O46"/>
    <mergeCell ref="I38:O39"/>
    <mergeCell ref="H46:H47"/>
    <mergeCell ref="E41:E42"/>
    <mergeCell ref="E43:E44"/>
    <mergeCell ref="G43:G44"/>
    <mergeCell ref="G41:G42"/>
    <mergeCell ref="B38:G39"/>
    <mergeCell ref="B40:C40"/>
    <mergeCell ref="B41:C41"/>
    <mergeCell ref="B42:C42"/>
    <mergeCell ref="F40:G40"/>
    <mergeCell ref="I47:O47"/>
    <mergeCell ref="I40:O40"/>
    <mergeCell ref="O12:S13"/>
    <mergeCell ref="F14:F15"/>
    <mergeCell ref="G14:G15"/>
    <mergeCell ref="F16:F17"/>
    <mergeCell ref="G16:G17"/>
    <mergeCell ref="I14:I15"/>
    <mergeCell ref="L12:M13"/>
    <mergeCell ref="L16:L17"/>
    <mergeCell ref="F12:G13"/>
    <mergeCell ref="I12:J13"/>
    <mergeCell ref="J14:J15"/>
    <mergeCell ref="I16:I17"/>
    <mergeCell ref="J16:J17"/>
    <mergeCell ref="B12:D13"/>
    <mergeCell ref="D16:D17"/>
    <mergeCell ref="M16:M17"/>
    <mergeCell ref="L14:L15"/>
    <mergeCell ref="M14:M15"/>
    <mergeCell ref="C18:D19"/>
    <mergeCell ref="B20:B21"/>
    <mergeCell ref="B18:B19"/>
    <mergeCell ref="B14:B15"/>
    <mergeCell ref="B16:B17"/>
    <mergeCell ref="C14:D15"/>
    <mergeCell ref="C16:C17"/>
    <mergeCell ref="F21:F22"/>
    <mergeCell ref="G21:G22"/>
    <mergeCell ref="C22:D23"/>
    <mergeCell ref="B22:B23"/>
    <mergeCell ref="C20:D21"/>
    <mergeCell ref="G32:H32"/>
    <mergeCell ref="G33:H33"/>
    <mergeCell ref="K32:M33"/>
    <mergeCell ref="K28:M29"/>
    <mergeCell ref="B28:C28"/>
    <mergeCell ref="B29:C29"/>
    <mergeCell ref="B30:C30"/>
    <mergeCell ref="B31:C31"/>
    <mergeCell ref="B32:C33"/>
    <mergeCell ref="D32:D33"/>
    <mergeCell ref="E32:E33"/>
    <mergeCell ref="K30:M31"/>
    <mergeCell ref="G28:H28"/>
    <mergeCell ref="G29:H29"/>
    <mergeCell ref="G30:H30"/>
    <mergeCell ref="G31:H31"/>
    <mergeCell ref="B26:E27"/>
    <mergeCell ref="B6:F7"/>
    <mergeCell ref="B8:F9"/>
    <mergeCell ref="U8:Y9"/>
    <mergeCell ref="M19:M20"/>
    <mergeCell ref="L21:L22"/>
    <mergeCell ref="M21:M22"/>
    <mergeCell ref="K26:M27"/>
    <mergeCell ref="I19:I20"/>
    <mergeCell ref="J19:J20"/>
    <mergeCell ref="I21:I22"/>
    <mergeCell ref="J21:J22"/>
    <mergeCell ref="L19:L20"/>
    <mergeCell ref="G26:I27"/>
    <mergeCell ref="F19:F20"/>
    <mergeCell ref="G19:G20"/>
    <mergeCell ref="H6:M7"/>
    <mergeCell ref="H8:M9"/>
    <mergeCell ref="B2:Y3"/>
    <mergeCell ref="U6:Y7"/>
    <mergeCell ref="O6:S7"/>
    <mergeCell ref="O8:S9"/>
  </mergeCells>
  <conditionalFormatting sqref="U8:Y9">
    <cfRule type="cellIs" dxfId="77" priority="3" operator="equal">
      <formula>"Monthly Metrics Complete"</formula>
    </cfRule>
    <cfRule type="cellIs" dxfId="76" priority="4" operator="equal">
      <formula>"Monthly Metrics Incomplete"</formula>
    </cfRule>
    <cfRule type="cellIs" dxfId="75" priority="5" operator="equal">
      <formula>"Bonus Eligible!"</formula>
    </cfRule>
    <cfRule type="cellIs" dxfId="74" priority="6" operator="equal">
      <formula>"Not Bonus Eligible"</formula>
    </cfRule>
  </conditionalFormatting>
  <conditionalFormatting sqref="U6:Y7">
    <cfRule type="cellIs" dxfId="73" priority="1" operator="equal">
      <formula>"Bonus Eligible!"</formula>
    </cfRule>
    <cfRule type="cellIs" dxfId="72" priority="2" operator="equal">
      <formula>"Not Bonus Eligible"</formula>
    </cfRule>
  </conditionalFormatting>
  <pageMargins left="0.7" right="0.7" top="0.75" bottom="0.75" header="0.3" footer="0.3"/>
  <pageSetup orientation="portrait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43"/>
  <sheetViews>
    <sheetView showZeros="0" workbookViewId="0">
      <selection activeCell="K16" sqref="K16:N16"/>
    </sheetView>
  </sheetViews>
  <sheetFormatPr defaultRowHeight="15" x14ac:dyDescent="0.25"/>
  <cols>
    <col min="3" max="3" width="11" customWidth="1"/>
    <col min="4" max="4" width="10.85546875" customWidth="1"/>
    <col min="9" max="10" width="6.7109375" customWidth="1"/>
  </cols>
  <sheetData>
    <row r="1" spans="1:30" ht="15.75" thickBot="1" x14ac:dyDescent="0.3">
      <c r="A1" s="64"/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</row>
    <row r="2" spans="1:30" x14ac:dyDescent="0.25">
      <c r="A2" s="64"/>
      <c r="B2" s="8"/>
      <c r="C2" s="17" t="s">
        <v>39</v>
      </c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10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</row>
    <row r="3" spans="1:30" x14ac:dyDescent="0.25">
      <c r="A3" s="64"/>
      <c r="B3" s="11"/>
      <c r="C3" s="301" t="s">
        <v>5</v>
      </c>
      <c r="D3" s="302"/>
      <c r="E3" s="302"/>
      <c r="F3" s="302"/>
      <c r="G3" s="302"/>
      <c r="H3" s="302"/>
      <c r="I3" s="302"/>
      <c r="J3" s="302"/>
      <c r="K3" s="302"/>
      <c r="L3" s="302"/>
      <c r="M3" s="302"/>
      <c r="N3" s="302"/>
      <c r="O3" s="302"/>
      <c r="P3" s="303"/>
      <c r="Q3" s="12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</row>
    <row r="4" spans="1:30" x14ac:dyDescent="0.25">
      <c r="A4" s="64"/>
      <c r="B4" s="11"/>
      <c r="C4" s="304"/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6"/>
      <c r="Q4" s="12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</row>
    <row r="5" spans="1:30" x14ac:dyDescent="0.25">
      <c r="A5" s="64"/>
      <c r="B5" s="11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2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</row>
    <row r="6" spans="1:30" x14ac:dyDescent="0.25">
      <c r="A6" s="64"/>
      <c r="B6" s="11"/>
      <c r="C6" s="313" t="s">
        <v>2</v>
      </c>
      <c r="D6" s="314"/>
      <c r="E6" s="314"/>
      <c r="F6" s="314"/>
      <c r="G6" s="314"/>
      <c r="H6" s="315"/>
      <c r="I6" s="14"/>
      <c r="J6" s="13"/>
      <c r="K6" s="313" t="s">
        <v>3</v>
      </c>
      <c r="L6" s="314"/>
      <c r="M6" s="314"/>
      <c r="N6" s="314"/>
      <c r="O6" s="314"/>
      <c r="P6" s="315"/>
      <c r="Q6" s="12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</row>
    <row r="7" spans="1:30" x14ac:dyDescent="0.25">
      <c r="A7" s="64"/>
      <c r="B7" s="11"/>
      <c r="C7" s="316"/>
      <c r="D7" s="317"/>
      <c r="E7" s="317"/>
      <c r="F7" s="317"/>
      <c r="G7" s="317"/>
      <c r="H7" s="318"/>
      <c r="I7" s="14"/>
      <c r="J7" s="13"/>
      <c r="K7" s="316"/>
      <c r="L7" s="317"/>
      <c r="M7" s="317"/>
      <c r="N7" s="317"/>
      <c r="O7" s="317"/>
      <c r="P7" s="318"/>
      <c r="Q7" s="12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</row>
    <row r="8" spans="1:30" x14ac:dyDescent="0.25">
      <c r="A8" s="64"/>
      <c r="B8" s="11"/>
      <c r="C8" s="319"/>
      <c r="D8" s="320"/>
      <c r="E8" s="320"/>
      <c r="F8" s="320"/>
      <c r="G8" s="320"/>
      <c r="H8" s="321"/>
      <c r="I8" s="14"/>
      <c r="J8" s="13"/>
      <c r="K8" s="319"/>
      <c r="L8" s="320"/>
      <c r="M8" s="320"/>
      <c r="N8" s="320"/>
      <c r="O8" s="320"/>
      <c r="P8" s="321"/>
      <c r="Q8" s="12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</row>
    <row r="9" spans="1:30" x14ac:dyDescent="0.25">
      <c r="A9" s="64"/>
      <c r="B9" s="11"/>
      <c r="C9" s="14"/>
      <c r="D9" s="14"/>
      <c r="E9" s="14"/>
      <c r="F9" s="14"/>
      <c r="G9" s="14"/>
      <c r="H9" s="14"/>
      <c r="I9" s="14"/>
      <c r="J9" s="13"/>
      <c r="K9" s="14"/>
      <c r="L9" s="14"/>
      <c r="M9" s="14"/>
      <c r="N9" s="14"/>
      <c r="O9" s="14"/>
      <c r="P9" s="14"/>
      <c r="Q9" s="12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</row>
    <row r="10" spans="1:30" x14ac:dyDescent="0.25">
      <c r="A10" s="64"/>
      <c r="B10" s="11"/>
      <c r="C10" s="297" t="s">
        <v>148</v>
      </c>
      <c r="D10" s="298"/>
      <c r="E10" s="299">
        <v>240214.79</v>
      </c>
      <c r="F10" s="299"/>
      <c r="G10" s="299"/>
      <c r="H10" s="300"/>
      <c r="I10" s="13"/>
      <c r="J10" s="13"/>
      <c r="K10" s="338" t="s">
        <v>8</v>
      </c>
      <c r="L10" s="330"/>
      <c r="M10" s="330"/>
      <c r="N10" s="330"/>
      <c r="O10" s="330" t="s">
        <v>9</v>
      </c>
      <c r="P10" s="331"/>
      <c r="Q10" s="12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</row>
    <row r="11" spans="1:30" x14ac:dyDescent="0.25">
      <c r="A11" s="64"/>
      <c r="B11" s="11"/>
      <c r="C11" s="322" t="s">
        <v>145</v>
      </c>
      <c r="D11" s="323"/>
      <c r="E11" s="307">
        <v>235334.08</v>
      </c>
      <c r="F11" s="307"/>
      <c r="G11" s="307"/>
      <c r="H11" s="308"/>
      <c r="I11" s="13"/>
      <c r="J11" s="13"/>
      <c r="K11" s="311" t="s">
        <v>211</v>
      </c>
      <c r="L11" s="312"/>
      <c r="M11" s="312"/>
      <c r="N11" s="312"/>
      <c r="O11" s="332">
        <f>'Input Sheet'!I8</f>
        <v>999</v>
      </c>
      <c r="P11" s="333"/>
      <c r="Q11" s="15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t="s">
        <v>17</v>
      </c>
    </row>
    <row r="12" spans="1:30" x14ac:dyDescent="0.25">
      <c r="A12" s="64"/>
      <c r="B12" s="11"/>
      <c r="C12" s="324" t="s">
        <v>146</v>
      </c>
      <c r="D12" s="325"/>
      <c r="E12" s="307">
        <v>236349.12</v>
      </c>
      <c r="F12" s="307"/>
      <c r="G12" s="307"/>
      <c r="H12" s="308"/>
      <c r="I12" s="13"/>
      <c r="J12" s="13"/>
      <c r="K12" s="311" t="s">
        <v>211</v>
      </c>
      <c r="L12" s="312"/>
      <c r="M12" s="312"/>
      <c r="N12" s="312"/>
      <c r="O12" s="332">
        <f>'Input Sheet'!I9</f>
        <v>1057</v>
      </c>
      <c r="P12" s="333"/>
      <c r="Q12" s="15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</row>
    <row r="13" spans="1:30" x14ac:dyDescent="0.25">
      <c r="A13" s="64"/>
      <c r="B13" s="11"/>
      <c r="C13" s="326" t="s">
        <v>147</v>
      </c>
      <c r="D13" s="327"/>
      <c r="E13" s="309">
        <v>216559.37</v>
      </c>
      <c r="F13" s="309"/>
      <c r="G13" s="309"/>
      <c r="H13" s="310"/>
      <c r="I13" s="13"/>
      <c r="J13" s="13"/>
      <c r="K13" s="311" t="s">
        <v>211</v>
      </c>
      <c r="L13" s="312"/>
      <c r="M13" s="312"/>
      <c r="N13" s="312"/>
      <c r="O13" s="332">
        <f>'Input Sheet'!I10</f>
        <v>299</v>
      </c>
      <c r="P13" s="333"/>
      <c r="Q13" s="15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</row>
    <row r="14" spans="1:30" x14ac:dyDescent="0.25">
      <c r="A14" s="64"/>
      <c r="B14" s="11"/>
      <c r="C14" s="293" t="s">
        <v>4</v>
      </c>
      <c r="D14" s="294"/>
      <c r="E14" s="295">
        <f>IFERROR(AVERAGE(E10:E13),0)</f>
        <v>232114.34</v>
      </c>
      <c r="F14" s="295"/>
      <c r="G14" s="295"/>
      <c r="H14" s="296"/>
      <c r="I14" s="13"/>
      <c r="J14" s="13"/>
      <c r="K14" s="311" t="s">
        <v>211</v>
      </c>
      <c r="L14" s="312"/>
      <c r="M14" s="312"/>
      <c r="N14" s="312"/>
      <c r="O14" s="332">
        <f>'Input Sheet'!I11</f>
        <v>420</v>
      </c>
      <c r="P14" s="333"/>
      <c r="Q14" s="15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</row>
    <row r="15" spans="1:30" x14ac:dyDescent="0.25">
      <c r="A15" s="64"/>
      <c r="B15" s="11"/>
      <c r="C15" s="334" t="s">
        <v>6</v>
      </c>
      <c r="D15" s="335"/>
      <c r="E15" s="336">
        <f>'Input Sheet'!S31</f>
        <v>10003</v>
      </c>
      <c r="F15" s="336"/>
      <c r="G15" s="336"/>
      <c r="H15" s="337"/>
      <c r="I15" s="13"/>
      <c r="J15" s="13"/>
      <c r="K15" s="311">
        <f>'Input Sheet'!B12</f>
        <v>0</v>
      </c>
      <c r="L15" s="312"/>
      <c r="M15" s="312"/>
      <c r="N15" s="312"/>
      <c r="O15" s="332">
        <f>'Input Sheet'!I12</f>
        <v>0</v>
      </c>
      <c r="P15" s="333"/>
      <c r="Q15" s="15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</row>
    <row r="16" spans="1:30" x14ac:dyDescent="0.25">
      <c r="A16" s="64"/>
      <c r="B16" s="11"/>
      <c r="C16" s="16"/>
      <c r="D16" s="16"/>
      <c r="E16" s="16"/>
      <c r="F16" s="16"/>
      <c r="G16" s="16"/>
      <c r="H16" s="16"/>
      <c r="I16" s="13"/>
      <c r="J16" s="13"/>
      <c r="K16" s="311">
        <f>'Input Sheet'!B13</f>
        <v>0</v>
      </c>
      <c r="L16" s="312"/>
      <c r="M16" s="312"/>
      <c r="N16" s="312"/>
      <c r="O16" s="332">
        <f>'Input Sheet'!I13</f>
        <v>0</v>
      </c>
      <c r="P16" s="333"/>
      <c r="Q16" s="15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</row>
    <row r="17" spans="1:29" x14ac:dyDescent="0.25">
      <c r="A17" s="64"/>
      <c r="B17" s="11"/>
      <c r="C17" s="365" t="s">
        <v>14</v>
      </c>
      <c r="D17" s="366"/>
      <c r="E17" s="366"/>
      <c r="F17" s="366"/>
      <c r="G17" s="366"/>
      <c r="H17" s="367"/>
      <c r="I17" s="13"/>
      <c r="J17" s="13"/>
      <c r="K17" s="311">
        <f>'Input Sheet'!B14</f>
        <v>0</v>
      </c>
      <c r="L17" s="312"/>
      <c r="M17" s="312"/>
      <c r="N17" s="312"/>
      <c r="O17" s="332">
        <f>'Input Sheet'!I14</f>
        <v>0</v>
      </c>
      <c r="P17" s="333"/>
      <c r="Q17" s="15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</row>
    <row r="18" spans="1:29" x14ac:dyDescent="0.25">
      <c r="A18" s="64"/>
      <c r="B18" s="11"/>
      <c r="C18" s="361" t="s">
        <v>13</v>
      </c>
      <c r="D18" s="362"/>
      <c r="E18" s="4">
        <v>0.95</v>
      </c>
      <c r="F18" s="3">
        <v>0.9</v>
      </c>
      <c r="G18" s="2">
        <v>0.85</v>
      </c>
      <c r="H18" s="1">
        <v>0.8</v>
      </c>
      <c r="I18" s="13"/>
      <c r="J18" s="13"/>
      <c r="K18" s="311">
        <f>'Input Sheet'!B15</f>
        <v>0</v>
      </c>
      <c r="L18" s="312"/>
      <c r="M18" s="312"/>
      <c r="N18" s="312"/>
      <c r="O18" s="332">
        <f>'Input Sheet'!I15</f>
        <v>0</v>
      </c>
      <c r="P18" s="333"/>
      <c r="Q18" s="15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</row>
    <row r="19" spans="1:29" x14ac:dyDescent="0.25">
      <c r="A19" s="64"/>
      <c r="B19" s="11"/>
      <c r="C19" s="359" t="s">
        <v>1</v>
      </c>
      <c r="D19" s="360"/>
      <c r="E19" s="5">
        <f>E14*0.0125</f>
        <v>2901.4292500000001</v>
      </c>
      <c r="F19" s="5">
        <f>E14*0.025</f>
        <v>5802.8585000000003</v>
      </c>
      <c r="G19" s="5">
        <f>E14*0.0375</f>
        <v>8704.2877499999995</v>
      </c>
      <c r="H19" s="5">
        <f>E14*0.05</f>
        <v>11605.717000000001</v>
      </c>
      <c r="I19" s="13"/>
      <c r="J19" s="13"/>
      <c r="K19" s="363">
        <f>'Input Sheet'!B16</f>
        <v>0</v>
      </c>
      <c r="L19" s="364"/>
      <c r="M19" s="364"/>
      <c r="N19" s="364"/>
      <c r="O19" s="332">
        <f>'Input Sheet'!I16</f>
        <v>0</v>
      </c>
      <c r="P19" s="333"/>
      <c r="Q19" s="15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</row>
    <row r="20" spans="1:29" x14ac:dyDescent="0.25">
      <c r="A20" s="64"/>
      <c r="B20" s="11"/>
      <c r="C20" s="368" t="s">
        <v>0</v>
      </c>
      <c r="D20" s="369"/>
      <c r="E20" s="6">
        <v>7125</v>
      </c>
      <c r="F20" s="6">
        <v>6750</v>
      </c>
      <c r="G20" s="6">
        <v>6375</v>
      </c>
      <c r="H20" s="6">
        <v>1875</v>
      </c>
      <c r="I20" s="13"/>
      <c r="J20" s="13"/>
      <c r="K20" s="342" t="s">
        <v>11</v>
      </c>
      <c r="L20" s="343"/>
      <c r="M20" s="343"/>
      <c r="N20" s="343"/>
      <c r="O20" s="340">
        <f>'Input Sheet'!I31</f>
        <v>2775</v>
      </c>
      <c r="P20" s="341"/>
      <c r="Q20" s="12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</row>
    <row r="21" spans="1:29" x14ac:dyDescent="0.25">
      <c r="A21" s="64"/>
      <c r="B21" s="11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2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</row>
    <row r="22" spans="1:29" x14ac:dyDescent="0.25">
      <c r="A22" s="64"/>
      <c r="B22" s="11"/>
      <c r="C22" s="328" t="s">
        <v>7</v>
      </c>
      <c r="D22" s="328"/>
      <c r="E22" s="329" t="e">
        <f ca="1">IF(ISBLANK(E15),"-",_xlfn.IFS(E15=0,7500,E15&lt;E19,E20,E15&lt;F19,F20,E15&lt;G19,G20,E15&lt;H19,H20,E15&gt;H19,0))</f>
        <v>#NAME?</v>
      </c>
      <c r="F22" s="329"/>
      <c r="G22" s="329"/>
      <c r="H22" s="329"/>
      <c r="I22" s="13"/>
      <c r="J22" s="13"/>
      <c r="K22" s="339" t="s">
        <v>10</v>
      </c>
      <c r="L22" s="339"/>
      <c r="M22" s="339"/>
      <c r="N22" s="339"/>
      <c r="O22" s="329">
        <f>MIN(O20*0.2,2500)</f>
        <v>555</v>
      </c>
      <c r="P22" s="329"/>
      <c r="Q22" s="12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</row>
    <row r="23" spans="1:29" x14ac:dyDescent="0.25">
      <c r="A23" s="64"/>
      <c r="B23" s="11"/>
      <c r="C23" s="328"/>
      <c r="D23" s="328"/>
      <c r="E23" s="329"/>
      <c r="F23" s="329"/>
      <c r="G23" s="329"/>
      <c r="H23" s="329"/>
      <c r="I23" s="13"/>
      <c r="J23" s="13"/>
      <c r="K23" s="339"/>
      <c r="L23" s="339"/>
      <c r="M23" s="339"/>
      <c r="N23" s="339"/>
      <c r="O23" s="329"/>
      <c r="P23" s="329"/>
      <c r="Q23" s="12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</row>
    <row r="24" spans="1:29" x14ac:dyDescent="0.25">
      <c r="A24" s="64"/>
      <c r="B24" s="11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2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</row>
    <row r="25" spans="1:29" x14ac:dyDescent="0.25">
      <c r="A25" s="64"/>
      <c r="B25" s="11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2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</row>
    <row r="26" spans="1:29" x14ac:dyDescent="0.25">
      <c r="A26" s="64"/>
      <c r="B26" s="344" t="s">
        <v>12</v>
      </c>
      <c r="C26" s="345"/>
      <c r="D26" s="345"/>
      <c r="E26" s="345"/>
      <c r="F26" s="345"/>
      <c r="G26" s="345"/>
      <c r="H26" s="345"/>
      <c r="I26" s="345"/>
      <c r="J26" s="345"/>
      <c r="K26" s="345"/>
      <c r="L26" s="345"/>
      <c r="M26" s="345"/>
      <c r="N26" s="345"/>
      <c r="O26" s="345"/>
      <c r="P26" s="345"/>
      <c r="Q26" s="346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</row>
    <row r="27" spans="1:29" x14ac:dyDescent="0.25">
      <c r="A27" s="64"/>
      <c r="B27" s="347"/>
      <c r="C27" s="348"/>
      <c r="D27" s="348"/>
      <c r="E27" s="348"/>
      <c r="F27" s="348"/>
      <c r="G27" s="348"/>
      <c r="H27" s="348"/>
      <c r="I27" s="348"/>
      <c r="J27" s="348"/>
      <c r="K27" s="348"/>
      <c r="L27" s="348"/>
      <c r="M27" s="348"/>
      <c r="N27" s="348"/>
      <c r="O27" s="348"/>
      <c r="P27" s="348"/>
      <c r="Q27" s="349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</row>
    <row r="28" spans="1:29" x14ac:dyDescent="0.25">
      <c r="A28" s="64"/>
      <c r="B28" s="350">
        <f ca="1">IFERROR(SUM(E22+O22),0)</f>
        <v>0</v>
      </c>
      <c r="C28" s="351"/>
      <c r="D28" s="351"/>
      <c r="E28" s="351"/>
      <c r="F28" s="351"/>
      <c r="G28" s="351"/>
      <c r="H28" s="351"/>
      <c r="I28" s="351"/>
      <c r="J28" s="351"/>
      <c r="K28" s="351"/>
      <c r="L28" s="351"/>
      <c r="M28" s="351"/>
      <c r="N28" s="351"/>
      <c r="O28" s="351"/>
      <c r="P28" s="351"/>
      <c r="Q28" s="352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</row>
    <row r="29" spans="1:29" x14ac:dyDescent="0.25">
      <c r="A29" s="64"/>
      <c r="B29" s="353"/>
      <c r="C29" s="354"/>
      <c r="D29" s="354"/>
      <c r="E29" s="354"/>
      <c r="F29" s="354"/>
      <c r="G29" s="354"/>
      <c r="H29" s="354"/>
      <c r="I29" s="354"/>
      <c r="J29" s="354"/>
      <c r="K29" s="354"/>
      <c r="L29" s="354"/>
      <c r="M29" s="354"/>
      <c r="N29" s="354"/>
      <c r="O29" s="354"/>
      <c r="P29" s="354"/>
      <c r="Q29" s="355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</row>
    <row r="30" spans="1:29" ht="15.75" thickBot="1" x14ac:dyDescent="0.3">
      <c r="A30" s="64"/>
      <c r="B30" s="356"/>
      <c r="C30" s="357"/>
      <c r="D30" s="357"/>
      <c r="E30" s="357"/>
      <c r="F30" s="357"/>
      <c r="G30" s="357"/>
      <c r="H30" s="357"/>
      <c r="I30" s="357"/>
      <c r="J30" s="357"/>
      <c r="K30" s="357"/>
      <c r="L30" s="357"/>
      <c r="M30" s="357"/>
      <c r="N30" s="357"/>
      <c r="O30" s="357"/>
      <c r="P30" s="357"/>
      <c r="Q30" s="358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</row>
    <row r="31" spans="1:29" x14ac:dyDescent="0.25">
      <c r="A31" s="64"/>
      <c r="B31" s="64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</row>
    <row r="32" spans="1:29" x14ac:dyDescent="0.25">
      <c r="A32" s="64"/>
      <c r="B32" s="64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</row>
    <row r="33" spans="1:29" x14ac:dyDescent="0.25">
      <c r="A33" s="64"/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</row>
    <row r="34" spans="1:29" x14ac:dyDescent="0.25">
      <c r="A34" s="64"/>
      <c r="B34" s="64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</row>
    <row r="35" spans="1:29" x14ac:dyDescent="0.25">
      <c r="A35" s="64"/>
      <c r="B35" s="64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</row>
    <row r="36" spans="1:29" x14ac:dyDescent="0.25">
      <c r="A36" s="64"/>
      <c r="B36" s="64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</row>
    <row r="37" spans="1:29" x14ac:dyDescent="0.2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</row>
    <row r="38" spans="1:29" x14ac:dyDescent="0.25">
      <c r="A38" s="64"/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</row>
    <row r="39" spans="1:29" x14ac:dyDescent="0.25">
      <c r="A39" s="64"/>
      <c r="B39" s="64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</row>
    <row r="40" spans="1:29" x14ac:dyDescent="0.25">
      <c r="A40" s="64"/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</row>
    <row r="41" spans="1:29" x14ac:dyDescent="0.25">
      <c r="A41" s="64"/>
      <c r="B41" s="64"/>
      <c r="C41" s="64"/>
      <c r="D41" s="64"/>
      <c r="E41" s="64"/>
      <c r="F41" s="64"/>
      <c r="G41" s="64"/>
      <c r="H41" s="64"/>
      <c r="I41" s="64"/>
      <c r="J41" s="64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</row>
    <row r="42" spans="1:29" x14ac:dyDescent="0.25">
      <c r="A42" s="64"/>
      <c r="B42" s="64"/>
      <c r="C42" s="64"/>
      <c r="D42" s="64"/>
      <c r="E42" s="64"/>
      <c r="F42" s="64"/>
      <c r="G42" s="64"/>
      <c r="H42" s="64"/>
      <c r="I42" s="64"/>
      <c r="J42" s="64"/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</row>
    <row r="43" spans="1:29" x14ac:dyDescent="0.25">
      <c r="A43" s="64"/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</row>
  </sheetData>
  <mergeCells count="47">
    <mergeCell ref="B26:Q27"/>
    <mergeCell ref="B28:Q30"/>
    <mergeCell ref="C19:D19"/>
    <mergeCell ref="C18:D18"/>
    <mergeCell ref="K14:N14"/>
    <mergeCell ref="K15:N15"/>
    <mergeCell ref="K16:N16"/>
    <mergeCell ref="K17:N17"/>
    <mergeCell ref="K18:N18"/>
    <mergeCell ref="K19:N19"/>
    <mergeCell ref="O16:P16"/>
    <mergeCell ref="O17:P17"/>
    <mergeCell ref="O18:P18"/>
    <mergeCell ref="O19:P19"/>
    <mergeCell ref="C17:H17"/>
    <mergeCell ref="C20:D20"/>
    <mergeCell ref="C22:D23"/>
    <mergeCell ref="E22:H23"/>
    <mergeCell ref="O10:P10"/>
    <mergeCell ref="O11:P11"/>
    <mergeCell ref="O12:P12"/>
    <mergeCell ref="O13:P13"/>
    <mergeCell ref="O14:P14"/>
    <mergeCell ref="C15:D15"/>
    <mergeCell ref="E15:H15"/>
    <mergeCell ref="O15:P15"/>
    <mergeCell ref="K10:N10"/>
    <mergeCell ref="K22:N23"/>
    <mergeCell ref="O22:P23"/>
    <mergeCell ref="O20:P20"/>
    <mergeCell ref="K20:N20"/>
    <mergeCell ref="K11:N11"/>
    <mergeCell ref="C14:D14"/>
    <mergeCell ref="E14:H14"/>
    <mergeCell ref="C10:D10"/>
    <mergeCell ref="E10:H10"/>
    <mergeCell ref="C3:P4"/>
    <mergeCell ref="E11:H11"/>
    <mergeCell ref="E12:H12"/>
    <mergeCell ref="E13:H13"/>
    <mergeCell ref="K12:N12"/>
    <mergeCell ref="K13:N13"/>
    <mergeCell ref="C6:H8"/>
    <mergeCell ref="C11:D11"/>
    <mergeCell ref="C12:D12"/>
    <mergeCell ref="K6:P8"/>
    <mergeCell ref="C13:D13"/>
  </mergeCells>
  <conditionalFormatting sqref="E22:H23">
    <cfRule type="cellIs" dxfId="71" priority="1" operator="lessThan">
      <formula>$H$20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B49"/>
  <sheetViews>
    <sheetView workbookViewId="0">
      <selection activeCell="M22" sqref="M22:P22"/>
    </sheetView>
  </sheetViews>
  <sheetFormatPr defaultRowHeight="15" x14ac:dyDescent="0.25"/>
  <cols>
    <col min="1" max="1" width="5.42578125" customWidth="1"/>
    <col min="6" max="6" width="12.5703125" customWidth="1"/>
    <col min="8" max="8" width="17.5703125" bestFit="1" customWidth="1"/>
    <col min="16" max="16" width="11.42578125" customWidth="1"/>
    <col min="17" max="17" width="23.7109375" customWidth="1"/>
    <col min="18" max="18" width="17.42578125" customWidth="1"/>
  </cols>
  <sheetData>
    <row r="1" spans="1:28" x14ac:dyDescent="0.25">
      <c r="A1" s="64"/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</row>
    <row r="2" spans="1:28" x14ac:dyDescent="0.25">
      <c r="A2" s="64"/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</row>
    <row r="3" spans="1:28" ht="15.75" thickBot="1" x14ac:dyDescent="0.3">
      <c r="A3" s="64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</row>
    <row r="4" spans="1:28" x14ac:dyDescent="0.25">
      <c r="A4" s="64"/>
      <c r="B4" s="400" t="s">
        <v>56</v>
      </c>
      <c r="C4" s="401"/>
      <c r="D4" s="401"/>
      <c r="E4" s="401"/>
      <c r="F4" s="401"/>
      <c r="G4" s="401"/>
      <c r="H4" s="401"/>
      <c r="I4" s="401"/>
      <c r="J4" s="401"/>
      <c r="K4" s="402"/>
      <c r="L4" s="64"/>
      <c r="M4" s="370" t="s">
        <v>57</v>
      </c>
      <c r="N4" s="371"/>
      <c r="O4" s="371"/>
      <c r="P4" s="371"/>
      <c r="Q4" s="371"/>
      <c r="R4" s="371"/>
      <c r="S4" s="371"/>
      <c r="T4" s="371"/>
      <c r="U4" s="372"/>
      <c r="V4" s="64"/>
      <c r="W4" s="64"/>
      <c r="X4" s="64"/>
      <c r="Y4" s="64"/>
      <c r="Z4" s="64"/>
      <c r="AA4" s="64"/>
      <c r="AB4" s="64"/>
    </row>
    <row r="5" spans="1:28" x14ac:dyDescent="0.25">
      <c r="A5" s="64"/>
      <c r="B5" s="403"/>
      <c r="C5" s="404"/>
      <c r="D5" s="404"/>
      <c r="E5" s="404"/>
      <c r="F5" s="404"/>
      <c r="G5" s="404"/>
      <c r="H5" s="404"/>
      <c r="I5" s="404"/>
      <c r="J5" s="404"/>
      <c r="K5" s="405"/>
      <c r="L5" s="64"/>
      <c r="M5" s="373"/>
      <c r="N5" s="374"/>
      <c r="O5" s="374"/>
      <c r="P5" s="374"/>
      <c r="Q5" s="374"/>
      <c r="R5" s="374"/>
      <c r="S5" s="374"/>
      <c r="T5" s="374"/>
      <c r="U5" s="375"/>
      <c r="V5" s="64"/>
      <c r="W5" s="64"/>
      <c r="X5" s="64"/>
      <c r="Y5" s="64"/>
      <c r="Z5" s="64"/>
      <c r="AA5" s="64"/>
      <c r="AB5" s="64"/>
    </row>
    <row r="6" spans="1:28" ht="15" customHeight="1" x14ac:dyDescent="0.25">
      <c r="A6" s="64"/>
      <c r="B6" s="388" t="s">
        <v>42</v>
      </c>
      <c r="C6" s="389"/>
      <c r="D6" s="389"/>
      <c r="E6" s="389"/>
      <c r="F6" s="390" t="s">
        <v>41</v>
      </c>
      <c r="G6" s="390"/>
      <c r="H6" s="399" t="s">
        <v>40</v>
      </c>
      <c r="I6" s="398" t="s">
        <v>15</v>
      </c>
      <c r="J6" s="398"/>
      <c r="K6" s="406" t="s">
        <v>58</v>
      </c>
      <c r="L6" s="64"/>
      <c r="M6" s="388" t="s">
        <v>42</v>
      </c>
      <c r="N6" s="389"/>
      <c r="O6" s="389"/>
      <c r="P6" s="389"/>
      <c r="Q6" s="390" t="s">
        <v>41</v>
      </c>
      <c r="R6" s="391" t="s">
        <v>53</v>
      </c>
      <c r="S6" s="392" t="s">
        <v>54</v>
      </c>
      <c r="T6" s="392"/>
      <c r="U6" s="376" t="s">
        <v>58</v>
      </c>
      <c r="V6" s="64"/>
      <c r="W6" s="64"/>
      <c r="X6" s="64"/>
      <c r="Y6" s="64"/>
      <c r="Z6" s="64"/>
      <c r="AA6" s="64"/>
      <c r="AB6" s="64"/>
    </row>
    <row r="7" spans="1:28" x14ac:dyDescent="0.25">
      <c r="A7" s="64"/>
      <c r="B7" s="388"/>
      <c r="C7" s="389"/>
      <c r="D7" s="389"/>
      <c r="E7" s="389"/>
      <c r="F7" s="390"/>
      <c r="G7" s="390"/>
      <c r="H7" s="399"/>
      <c r="I7" s="398"/>
      <c r="J7" s="398"/>
      <c r="K7" s="406"/>
      <c r="L7" s="64"/>
      <c r="M7" s="388"/>
      <c r="N7" s="389"/>
      <c r="O7" s="389"/>
      <c r="P7" s="389"/>
      <c r="Q7" s="390"/>
      <c r="R7" s="391"/>
      <c r="S7" s="392"/>
      <c r="T7" s="392"/>
      <c r="U7" s="376"/>
      <c r="V7" s="64"/>
      <c r="W7" s="64"/>
      <c r="X7" s="64"/>
      <c r="Y7" s="64"/>
      <c r="Z7" s="64"/>
      <c r="AA7" s="64"/>
      <c r="AB7" s="64"/>
    </row>
    <row r="8" spans="1:28" x14ac:dyDescent="0.25">
      <c r="A8" s="64"/>
      <c r="B8" s="559" t="s">
        <v>211</v>
      </c>
      <c r="C8" s="560"/>
      <c r="D8" s="560"/>
      <c r="E8" s="560"/>
      <c r="F8" s="393" t="s">
        <v>203</v>
      </c>
      <c r="G8" s="393"/>
      <c r="H8" s="23">
        <v>43200</v>
      </c>
      <c r="I8" s="387">
        <v>999</v>
      </c>
      <c r="J8" s="387"/>
      <c r="K8" s="25"/>
      <c r="L8" s="67" t="b">
        <v>1</v>
      </c>
      <c r="M8" s="559" t="s">
        <v>211</v>
      </c>
      <c r="N8" s="560"/>
      <c r="O8" s="560"/>
      <c r="P8" s="560"/>
      <c r="Q8" s="22"/>
      <c r="R8" s="23">
        <v>43200</v>
      </c>
      <c r="S8" s="387">
        <v>1790</v>
      </c>
      <c r="T8" s="387"/>
      <c r="U8" s="26"/>
      <c r="V8" s="67" t="b">
        <v>1</v>
      </c>
      <c r="W8" s="64"/>
      <c r="X8" s="64"/>
      <c r="Y8" s="64"/>
      <c r="Z8" s="64"/>
      <c r="AA8" s="64"/>
      <c r="AB8" s="64"/>
    </row>
    <row r="9" spans="1:28" x14ac:dyDescent="0.25">
      <c r="A9" s="64"/>
      <c r="B9" s="385" t="s">
        <v>211</v>
      </c>
      <c r="C9" s="386"/>
      <c r="D9" s="386"/>
      <c r="E9" s="386"/>
      <c r="F9" s="393"/>
      <c r="G9" s="393"/>
      <c r="H9" s="23"/>
      <c r="I9" s="387">
        <v>1057</v>
      </c>
      <c r="J9" s="387"/>
      <c r="K9" s="25"/>
      <c r="L9" s="67" t="b">
        <v>1</v>
      </c>
      <c r="M9" s="385" t="s">
        <v>211</v>
      </c>
      <c r="N9" s="386"/>
      <c r="O9" s="386"/>
      <c r="P9" s="386"/>
      <c r="Q9" s="22"/>
      <c r="R9" s="23">
        <v>43207</v>
      </c>
      <c r="S9" s="387">
        <v>3079</v>
      </c>
      <c r="T9" s="387"/>
      <c r="U9" s="26"/>
      <c r="V9" s="67" t="b">
        <v>0</v>
      </c>
      <c r="W9" s="64"/>
      <c r="X9" s="64"/>
      <c r="Y9" s="64"/>
      <c r="Z9" s="64"/>
      <c r="AA9" s="64"/>
      <c r="AB9" s="64"/>
    </row>
    <row r="10" spans="1:28" x14ac:dyDescent="0.25">
      <c r="A10" s="64"/>
      <c r="B10" s="385" t="s">
        <v>211</v>
      </c>
      <c r="C10" s="386"/>
      <c r="D10" s="386"/>
      <c r="E10" s="386"/>
      <c r="F10" s="393" t="s">
        <v>204</v>
      </c>
      <c r="G10" s="393"/>
      <c r="H10" s="23">
        <v>43235</v>
      </c>
      <c r="I10" s="387">
        <v>299</v>
      </c>
      <c r="J10" s="387"/>
      <c r="K10" s="25"/>
      <c r="L10" s="68" t="b">
        <v>1</v>
      </c>
      <c r="M10" s="385" t="s">
        <v>211</v>
      </c>
      <c r="N10" s="386"/>
      <c r="O10" s="386"/>
      <c r="P10" s="386"/>
      <c r="Q10" s="22"/>
      <c r="R10" s="23">
        <v>43207</v>
      </c>
      <c r="S10" s="387">
        <v>1649</v>
      </c>
      <c r="T10" s="387"/>
      <c r="U10" s="26"/>
      <c r="V10" s="67" t="b">
        <v>1</v>
      </c>
      <c r="W10" s="64"/>
      <c r="X10" s="64"/>
      <c r="Y10" s="64"/>
      <c r="Z10" s="64"/>
      <c r="AA10" s="64"/>
      <c r="AB10" s="64"/>
    </row>
    <row r="11" spans="1:28" x14ac:dyDescent="0.25">
      <c r="A11" s="64"/>
      <c r="B11" s="385" t="s">
        <v>211</v>
      </c>
      <c r="C11" s="386"/>
      <c r="D11" s="386"/>
      <c r="E11" s="386"/>
      <c r="F11" s="393" t="s">
        <v>206</v>
      </c>
      <c r="G11" s="393"/>
      <c r="H11" s="23">
        <v>43249</v>
      </c>
      <c r="I11" s="387">
        <v>420</v>
      </c>
      <c r="J11" s="387"/>
      <c r="K11" s="25"/>
      <c r="L11" s="68" t="b">
        <v>1</v>
      </c>
      <c r="M11" s="385" t="s">
        <v>211</v>
      </c>
      <c r="N11" s="386"/>
      <c r="O11" s="386"/>
      <c r="P11" s="386"/>
      <c r="Q11" s="22"/>
      <c r="R11" s="23">
        <v>43217</v>
      </c>
      <c r="S11" s="387">
        <v>2200</v>
      </c>
      <c r="T11" s="387"/>
      <c r="U11" s="26"/>
      <c r="V11" s="67" t="b">
        <v>1</v>
      </c>
      <c r="W11" s="64"/>
      <c r="X11" s="64"/>
      <c r="Y11" s="64"/>
      <c r="Z11" s="64"/>
      <c r="AA11" s="64"/>
      <c r="AB11" s="64"/>
    </row>
    <row r="12" spans="1:28" x14ac:dyDescent="0.25">
      <c r="A12" s="64"/>
      <c r="B12" s="385"/>
      <c r="C12" s="386"/>
      <c r="D12" s="386"/>
      <c r="E12" s="386"/>
      <c r="F12" s="393"/>
      <c r="G12" s="393"/>
      <c r="H12" s="21"/>
      <c r="I12" s="387"/>
      <c r="J12" s="387"/>
      <c r="K12" s="25"/>
      <c r="L12" s="68"/>
      <c r="M12" s="385" t="s">
        <v>211</v>
      </c>
      <c r="N12" s="386"/>
      <c r="O12" s="386"/>
      <c r="P12" s="386"/>
      <c r="Q12" s="22"/>
      <c r="R12" s="23">
        <v>43245</v>
      </c>
      <c r="S12" s="387">
        <v>618</v>
      </c>
      <c r="T12" s="387"/>
      <c r="U12" s="26"/>
      <c r="V12" s="67" t="b">
        <v>1</v>
      </c>
      <c r="W12" s="64"/>
      <c r="X12" s="64"/>
      <c r="Y12" s="64"/>
      <c r="Z12" s="64"/>
      <c r="AA12" s="64"/>
      <c r="AB12" s="64"/>
    </row>
    <row r="13" spans="1:28" x14ac:dyDescent="0.25">
      <c r="A13" s="64"/>
      <c r="B13" s="385"/>
      <c r="C13" s="386"/>
      <c r="D13" s="386"/>
      <c r="E13" s="386"/>
      <c r="F13" s="393"/>
      <c r="G13" s="393"/>
      <c r="H13" s="21"/>
      <c r="I13" s="387"/>
      <c r="J13" s="387"/>
      <c r="K13" s="25"/>
      <c r="L13" s="68"/>
      <c r="M13" s="385" t="s">
        <v>211</v>
      </c>
      <c r="N13" s="386"/>
      <c r="O13" s="386"/>
      <c r="P13" s="386"/>
      <c r="Q13" s="22"/>
      <c r="R13" s="23">
        <v>43228</v>
      </c>
      <c r="S13" s="387">
        <v>50</v>
      </c>
      <c r="T13" s="387"/>
      <c r="U13" s="26"/>
      <c r="V13" s="67" t="b">
        <v>1</v>
      </c>
      <c r="W13" s="64"/>
      <c r="X13" s="64"/>
      <c r="Y13" s="64"/>
      <c r="Z13" s="64"/>
      <c r="AA13" s="64"/>
      <c r="AB13" s="64"/>
    </row>
    <row r="14" spans="1:28" x14ac:dyDescent="0.25">
      <c r="A14" s="64"/>
      <c r="B14" s="385"/>
      <c r="C14" s="386"/>
      <c r="D14" s="386"/>
      <c r="E14" s="386"/>
      <c r="F14" s="393"/>
      <c r="G14" s="393"/>
      <c r="H14" s="21"/>
      <c r="I14" s="387"/>
      <c r="J14" s="387"/>
      <c r="K14" s="25"/>
      <c r="L14" s="68"/>
      <c r="M14" s="385" t="s">
        <v>211</v>
      </c>
      <c r="N14" s="386"/>
      <c r="O14" s="386"/>
      <c r="P14" s="386"/>
      <c r="Q14" s="24" t="s">
        <v>78</v>
      </c>
      <c r="R14" s="21"/>
      <c r="S14" s="387">
        <v>999</v>
      </c>
      <c r="T14" s="387"/>
      <c r="U14" s="26"/>
      <c r="V14" s="67" t="b">
        <v>1</v>
      </c>
      <c r="W14" s="64"/>
      <c r="X14" s="64"/>
      <c r="Y14" s="64"/>
      <c r="Z14" s="64"/>
      <c r="AA14" s="64"/>
      <c r="AB14" s="64"/>
    </row>
    <row r="15" spans="1:28" x14ac:dyDescent="0.25">
      <c r="A15" s="64"/>
      <c r="B15" s="385"/>
      <c r="C15" s="386"/>
      <c r="D15" s="386"/>
      <c r="E15" s="386"/>
      <c r="F15" s="393"/>
      <c r="G15" s="393"/>
      <c r="H15" s="21"/>
      <c r="I15" s="387"/>
      <c r="J15" s="387"/>
      <c r="K15" s="25"/>
      <c r="L15" s="68"/>
      <c r="M15" s="385" t="s">
        <v>211</v>
      </c>
      <c r="N15" s="386"/>
      <c r="O15" s="386"/>
      <c r="P15" s="386"/>
      <c r="Q15" s="24" t="s">
        <v>200</v>
      </c>
      <c r="R15" s="21"/>
      <c r="S15" s="387">
        <v>2604</v>
      </c>
      <c r="T15" s="387"/>
      <c r="U15" s="26"/>
      <c r="V15" s="67" t="b">
        <v>0</v>
      </c>
      <c r="W15" s="64"/>
      <c r="X15" s="64"/>
      <c r="Y15" s="64"/>
      <c r="Z15" s="64"/>
      <c r="AA15" s="64"/>
      <c r="AB15" s="64"/>
    </row>
    <row r="16" spans="1:28" x14ac:dyDescent="0.25">
      <c r="A16" s="64"/>
      <c r="B16" s="385"/>
      <c r="C16" s="386"/>
      <c r="D16" s="386"/>
      <c r="E16" s="386"/>
      <c r="F16" s="393"/>
      <c r="G16" s="393"/>
      <c r="H16" s="21"/>
      <c r="I16" s="387"/>
      <c r="J16" s="387"/>
      <c r="K16" s="25"/>
      <c r="L16" s="68"/>
      <c r="M16" s="385" t="s">
        <v>211</v>
      </c>
      <c r="N16" s="386"/>
      <c r="O16" s="386"/>
      <c r="P16" s="386"/>
      <c r="Q16" s="24" t="s">
        <v>201</v>
      </c>
      <c r="R16" s="21"/>
      <c r="S16" s="387">
        <v>1904.47</v>
      </c>
      <c r="T16" s="387"/>
      <c r="U16" s="26"/>
      <c r="V16" s="67" t="b">
        <v>0</v>
      </c>
      <c r="W16" s="64"/>
      <c r="X16" s="64"/>
      <c r="Y16" s="64"/>
      <c r="Z16" s="64"/>
      <c r="AA16" s="64"/>
      <c r="AB16" s="64"/>
    </row>
    <row r="17" spans="1:28" x14ac:dyDescent="0.25">
      <c r="A17" s="64"/>
      <c r="B17" s="385"/>
      <c r="C17" s="386"/>
      <c r="D17" s="386"/>
      <c r="E17" s="386"/>
      <c r="F17" s="393"/>
      <c r="G17" s="393"/>
      <c r="H17" s="21"/>
      <c r="I17" s="387"/>
      <c r="J17" s="387"/>
      <c r="K17" s="25"/>
      <c r="L17" s="68"/>
      <c r="M17" s="385" t="s">
        <v>211</v>
      </c>
      <c r="N17" s="386"/>
      <c r="O17" s="386"/>
      <c r="P17" s="386"/>
      <c r="Q17" s="24" t="s">
        <v>78</v>
      </c>
      <c r="R17" s="21"/>
      <c r="S17" s="387">
        <v>2697</v>
      </c>
      <c r="T17" s="387"/>
      <c r="U17" s="26"/>
      <c r="V17" s="67" t="b">
        <v>1</v>
      </c>
      <c r="W17" s="64"/>
      <c r="X17" s="64"/>
      <c r="Y17" s="64"/>
      <c r="Z17" s="64"/>
      <c r="AA17" s="64"/>
      <c r="AB17" s="64"/>
    </row>
    <row r="18" spans="1:28" x14ac:dyDescent="0.25">
      <c r="A18" s="64"/>
      <c r="B18" s="385"/>
      <c r="C18" s="386"/>
      <c r="D18" s="386"/>
      <c r="E18" s="386"/>
      <c r="F18" s="393"/>
      <c r="G18" s="393"/>
      <c r="H18" s="21"/>
      <c r="I18" s="387"/>
      <c r="J18" s="387"/>
      <c r="K18" s="25"/>
      <c r="L18" s="68"/>
      <c r="M18" s="385"/>
      <c r="N18" s="386"/>
      <c r="O18" s="386"/>
      <c r="P18" s="386"/>
      <c r="Q18" s="24"/>
      <c r="R18" s="21"/>
      <c r="S18" s="387"/>
      <c r="T18" s="387"/>
      <c r="U18" s="26"/>
      <c r="V18" s="67"/>
      <c r="W18" s="64"/>
      <c r="X18" s="64"/>
      <c r="Y18" s="64"/>
      <c r="Z18" s="64"/>
      <c r="AA18" s="64"/>
      <c r="AB18" s="64"/>
    </row>
    <row r="19" spans="1:28" x14ac:dyDescent="0.25">
      <c r="A19" s="64"/>
      <c r="B19" s="385"/>
      <c r="C19" s="386"/>
      <c r="D19" s="386"/>
      <c r="E19" s="386"/>
      <c r="F19" s="393"/>
      <c r="G19" s="393"/>
      <c r="H19" s="21"/>
      <c r="I19" s="387"/>
      <c r="J19" s="387"/>
      <c r="K19" s="25"/>
      <c r="L19" s="68"/>
      <c r="M19" s="385"/>
      <c r="N19" s="386"/>
      <c r="O19" s="386"/>
      <c r="P19" s="386"/>
      <c r="Q19" s="24"/>
      <c r="R19" s="21"/>
      <c r="S19" s="387"/>
      <c r="T19" s="387"/>
      <c r="U19" s="26"/>
      <c r="V19" s="67"/>
      <c r="W19" s="64"/>
      <c r="X19" s="64"/>
      <c r="Y19" s="64"/>
      <c r="Z19" s="64"/>
      <c r="AA19" s="64"/>
      <c r="AB19" s="64"/>
    </row>
    <row r="20" spans="1:28" x14ac:dyDescent="0.25">
      <c r="A20" s="64"/>
      <c r="B20" s="385"/>
      <c r="C20" s="386"/>
      <c r="D20" s="386"/>
      <c r="E20" s="386"/>
      <c r="F20" s="393"/>
      <c r="G20" s="393"/>
      <c r="H20" s="21"/>
      <c r="I20" s="387"/>
      <c r="J20" s="387"/>
      <c r="K20" s="25"/>
      <c r="L20" s="68"/>
      <c r="M20" s="385"/>
      <c r="N20" s="386"/>
      <c r="O20" s="386"/>
      <c r="P20" s="386"/>
      <c r="Q20" s="24"/>
      <c r="R20" s="21"/>
      <c r="S20" s="387"/>
      <c r="T20" s="387"/>
      <c r="U20" s="26"/>
      <c r="V20" s="67"/>
      <c r="W20" s="64"/>
      <c r="X20" s="64"/>
      <c r="Y20" s="64"/>
      <c r="Z20" s="64"/>
      <c r="AA20" s="64"/>
      <c r="AB20" s="64"/>
    </row>
    <row r="21" spans="1:28" x14ac:dyDescent="0.25">
      <c r="A21" s="64"/>
      <c r="B21" s="385"/>
      <c r="C21" s="386"/>
      <c r="D21" s="386"/>
      <c r="E21" s="386"/>
      <c r="F21" s="393"/>
      <c r="G21" s="393"/>
      <c r="H21" s="21"/>
      <c r="I21" s="387"/>
      <c r="J21" s="387"/>
      <c r="K21" s="25"/>
      <c r="L21" s="68"/>
      <c r="M21" s="385"/>
      <c r="N21" s="386"/>
      <c r="O21" s="386"/>
      <c r="P21" s="386"/>
      <c r="Q21" s="24"/>
      <c r="R21" s="21"/>
      <c r="S21" s="387"/>
      <c r="T21" s="387"/>
      <c r="U21" s="26"/>
      <c r="V21" s="67"/>
      <c r="W21" s="64"/>
      <c r="X21" s="64"/>
      <c r="Y21" s="64"/>
      <c r="Z21" s="64"/>
      <c r="AA21" s="64"/>
      <c r="AB21" s="64"/>
    </row>
    <row r="22" spans="1:28" x14ac:dyDescent="0.25">
      <c r="A22" s="64"/>
      <c r="B22" s="385"/>
      <c r="C22" s="386"/>
      <c r="D22" s="386"/>
      <c r="E22" s="386"/>
      <c r="F22" s="393"/>
      <c r="G22" s="393"/>
      <c r="H22" s="21"/>
      <c r="I22" s="387"/>
      <c r="J22" s="387"/>
      <c r="K22" s="25"/>
      <c r="L22" s="68"/>
      <c r="M22" s="385"/>
      <c r="N22" s="386"/>
      <c r="O22" s="386"/>
      <c r="P22" s="386"/>
      <c r="Q22" s="24"/>
      <c r="R22" s="21"/>
      <c r="S22" s="387"/>
      <c r="T22" s="387"/>
      <c r="U22" s="26"/>
      <c r="V22" s="67"/>
      <c r="W22" s="64"/>
      <c r="X22" s="64"/>
      <c r="Y22" s="64"/>
      <c r="Z22" s="64"/>
      <c r="AA22" s="64"/>
      <c r="AB22" s="64"/>
    </row>
    <row r="23" spans="1:28" x14ac:dyDescent="0.25">
      <c r="A23" s="64"/>
      <c r="B23" s="385"/>
      <c r="C23" s="386"/>
      <c r="D23" s="386"/>
      <c r="E23" s="386"/>
      <c r="F23" s="393"/>
      <c r="G23" s="393"/>
      <c r="H23" s="21"/>
      <c r="I23" s="387"/>
      <c r="J23" s="387"/>
      <c r="K23" s="25"/>
      <c r="L23" s="68"/>
      <c r="M23" s="385"/>
      <c r="N23" s="386"/>
      <c r="O23" s="386"/>
      <c r="P23" s="386"/>
      <c r="Q23" s="24"/>
      <c r="R23" s="21"/>
      <c r="S23" s="387"/>
      <c r="T23" s="387"/>
      <c r="U23" s="26"/>
      <c r="V23" s="67"/>
      <c r="W23" s="64"/>
      <c r="X23" s="64"/>
      <c r="Y23" s="64"/>
      <c r="Z23" s="64"/>
      <c r="AA23" s="64"/>
      <c r="AB23" s="64"/>
    </row>
    <row r="24" spans="1:28" x14ac:dyDescent="0.25">
      <c r="A24" s="64"/>
      <c r="B24" s="385"/>
      <c r="C24" s="386"/>
      <c r="D24" s="386"/>
      <c r="E24" s="386"/>
      <c r="F24" s="393"/>
      <c r="G24" s="393"/>
      <c r="H24" s="21"/>
      <c r="I24" s="387"/>
      <c r="J24" s="387"/>
      <c r="K24" s="25"/>
      <c r="L24" s="68"/>
      <c r="M24" s="385"/>
      <c r="N24" s="386"/>
      <c r="O24" s="386"/>
      <c r="P24" s="386"/>
      <c r="Q24" s="24"/>
      <c r="R24" s="21"/>
      <c r="S24" s="387"/>
      <c r="T24" s="387"/>
      <c r="U24" s="26"/>
      <c r="V24" s="67"/>
      <c r="W24" s="64"/>
      <c r="X24" s="64"/>
      <c r="Y24" s="64"/>
      <c r="Z24" s="64"/>
      <c r="AA24" s="64"/>
      <c r="AB24" s="64"/>
    </row>
    <row r="25" spans="1:28" x14ac:dyDescent="0.25">
      <c r="A25" s="64"/>
      <c r="B25" s="385"/>
      <c r="C25" s="386"/>
      <c r="D25" s="386"/>
      <c r="E25" s="386"/>
      <c r="F25" s="393"/>
      <c r="G25" s="393"/>
      <c r="H25" s="21"/>
      <c r="I25" s="387"/>
      <c r="J25" s="387"/>
      <c r="K25" s="25"/>
      <c r="L25" s="68"/>
      <c r="M25" s="385"/>
      <c r="N25" s="386"/>
      <c r="O25" s="386"/>
      <c r="P25" s="386"/>
      <c r="Q25" s="24"/>
      <c r="R25" s="21"/>
      <c r="S25" s="387"/>
      <c r="T25" s="387"/>
      <c r="U25" s="26"/>
      <c r="V25" s="67"/>
      <c r="W25" s="64"/>
      <c r="X25" s="64"/>
      <c r="Y25" s="64"/>
      <c r="Z25" s="64"/>
      <c r="AA25" s="64"/>
      <c r="AB25" s="64"/>
    </row>
    <row r="26" spans="1:28" x14ac:dyDescent="0.25">
      <c r="A26" s="64"/>
      <c r="B26" s="385"/>
      <c r="C26" s="386"/>
      <c r="D26" s="386"/>
      <c r="E26" s="386"/>
      <c r="F26" s="393"/>
      <c r="G26" s="393"/>
      <c r="H26" s="21"/>
      <c r="I26" s="387"/>
      <c r="J26" s="387"/>
      <c r="K26" s="25"/>
      <c r="L26" s="68"/>
      <c r="M26" s="385"/>
      <c r="N26" s="386"/>
      <c r="O26" s="386"/>
      <c r="P26" s="386"/>
      <c r="Q26" s="24"/>
      <c r="R26" s="21"/>
      <c r="S26" s="387"/>
      <c r="T26" s="387"/>
      <c r="U26" s="26"/>
      <c r="V26" s="67"/>
      <c r="W26" s="64"/>
      <c r="X26" s="64"/>
      <c r="Y26" s="64"/>
      <c r="Z26" s="64"/>
      <c r="AA26" s="64"/>
      <c r="AB26" s="64"/>
    </row>
    <row r="27" spans="1:28" x14ac:dyDescent="0.25">
      <c r="A27" s="64"/>
      <c r="B27" s="385"/>
      <c r="C27" s="386"/>
      <c r="D27" s="386"/>
      <c r="E27" s="386"/>
      <c r="F27" s="393"/>
      <c r="G27" s="393"/>
      <c r="H27" s="21"/>
      <c r="I27" s="387"/>
      <c r="J27" s="387"/>
      <c r="K27" s="25"/>
      <c r="L27" s="68"/>
      <c r="M27" s="385"/>
      <c r="N27" s="386"/>
      <c r="O27" s="386"/>
      <c r="P27" s="386"/>
      <c r="Q27" s="24"/>
      <c r="R27" s="21"/>
      <c r="S27" s="387"/>
      <c r="T27" s="387"/>
      <c r="U27" s="26"/>
      <c r="V27" s="67"/>
      <c r="W27" s="64"/>
      <c r="X27" s="64"/>
      <c r="Y27" s="64"/>
      <c r="Z27" s="64"/>
      <c r="AA27" s="64"/>
      <c r="AB27" s="64"/>
    </row>
    <row r="28" spans="1:28" x14ac:dyDescent="0.25">
      <c r="A28" s="64"/>
      <c r="B28" s="385"/>
      <c r="C28" s="386"/>
      <c r="D28" s="386"/>
      <c r="E28" s="386"/>
      <c r="F28" s="393"/>
      <c r="G28" s="393"/>
      <c r="H28" s="21"/>
      <c r="I28" s="387"/>
      <c r="J28" s="387"/>
      <c r="K28" s="25"/>
      <c r="L28" s="68"/>
      <c r="M28" s="385"/>
      <c r="N28" s="386"/>
      <c r="O28" s="386"/>
      <c r="P28" s="386"/>
      <c r="Q28" s="24"/>
      <c r="R28" s="21"/>
      <c r="S28" s="387"/>
      <c r="T28" s="387"/>
      <c r="U28" s="26"/>
      <c r="V28" s="67"/>
      <c r="W28" s="64"/>
      <c r="X28" s="64"/>
      <c r="Y28" s="64"/>
      <c r="Z28" s="64"/>
      <c r="AA28" s="64"/>
      <c r="AB28" s="64"/>
    </row>
    <row r="29" spans="1:28" x14ac:dyDescent="0.25">
      <c r="A29" s="64"/>
      <c r="B29" s="385"/>
      <c r="C29" s="386"/>
      <c r="D29" s="386"/>
      <c r="E29" s="386"/>
      <c r="F29" s="393"/>
      <c r="G29" s="393"/>
      <c r="H29" s="21"/>
      <c r="I29" s="387"/>
      <c r="J29" s="387"/>
      <c r="K29" s="25"/>
      <c r="L29" s="68"/>
      <c r="M29" s="385"/>
      <c r="N29" s="386"/>
      <c r="O29" s="386"/>
      <c r="P29" s="386"/>
      <c r="Q29" s="24"/>
      <c r="R29" s="21"/>
      <c r="S29" s="387"/>
      <c r="T29" s="387"/>
      <c r="U29" s="26"/>
      <c r="V29" s="67"/>
      <c r="W29" s="64"/>
      <c r="X29" s="64"/>
      <c r="Y29" s="64"/>
      <c r="Z29" s="64"/>
      <c r="AA29" s="64"/>
      <c r="AB29" s="64"/>
    </row>
    <row r="30" spans="1:28" x14ac:dyDescent="0.25">
      <c r="A30" s="64"/>
      <c r="B30" s="385"/>
      <c r="C30" s="386"/>
      <c r="D30" s="386"/>
      <c r="E30" s="386"/>
      <c r="F30" s="393"/>
      <c r="G30" s="393"/>
      <c r="H30" s="21"/>
      <c r="I30" s="387"/>
      <c r="J30" s="387"/>
      <c r="K30" s="25"/>
      <c r="L30" s="68"/>
      <c r="M30" s="385"/>
      <c r="N30" s="386"/>
      <c r="O30" s="386"/>
      <c r="P30" s="386"/>
      <c r="Q30" s="24"/>
      <c r="R30" s="21"/>
      <c r="S30" s="387"/>
      <c r="T30" s="387"/>
      <c r="U30" s="26"/>
      <c r="V30" s="67"/>
      <c r="W30" s="64"/>
      <c r="X30" s="64"/>
      <c r="Y30" s="64"/>
      <c r="Z30" s="64"/>
      <c r="AA30" s="64"/>
      <c r="AB30" s="64"/>
    </row>
    <row r="31" spans="1:28" ht="15" customHeight="1" x14ac:dyDescent="0.25">
      <c r="A31" s="64"/>
      <c r="B31" s="394" t="s">
        <v>16</v>
      </c>
      <c r="C31" s="395"/>
      <c r="D31" s="395"/>
      <c r="E31" s="395"/>
      <c r="F31" s="395"/>
      <c r="G31" s="395"/>
      <c r="H31" s="395"/>
      <c r="I31" s="407">
        <f>SUMPRODUCT(L8:L30*I8:I30)</f>
        <v>2775</v>
      </c>
      <c r="J31" s="407"/>
      <c r="K31" s="408"/>
      <c r="L31" s="65"/>
      <c r="M31" s="381" t="s">
        <v>55</v>
      </c>
      <c r="N31" s="382"/>
      <c r="O31" s="382"/>
      <c r="P31" s="382"/>
      <c r="Q31" s="382"/>
      <c r="R31" s="382"/>
      <c r="S31" s="377">
        <f>SUMPRODUCT(V8:V30*S8:S30)</f>
        <v>10003</v>
      </c>
      <c r="T31" s="377"/>
      <c r="U31" s="378"/>
      <c r="V31" s="64"/>
      <c r="W31" s="64"/>
      <c r="X31" s="64"/>
      <c r="Y31" s="64"/>
      <c r="Z31" s="64"/>
      <c r="AA31" s="64"/>
      <c r="AB31" s="64"/>
    </row>
    <row r="32" spans="1:28" ht="15" customHeight="1" thickBot="1" x14ac:dyDescent="0.3">
      <c r="A32" s="64"/>
      <c r="B32" s="396"/>
      <c r="C32" s="397"/>
      <c r="D32" s="397"/>
      <c r="E32" s="397"/>
      <c r="F32" s="397"/>
      <c r="G32" s="397"/>
      <c r="H32" s="397"/>
      <c r="I32" s="409"/>
      <c r="J32" s="409"/>
      <c r="K32" s="410"/>
      <c r="L32" s="65"/>
      <c r="M32" s="383"/>
      <c r="N32" s="384"/>
      <c r="O32" s="384"/>
      <c r="P32" s="384"/>
      <c r="Q32" s="384"/>
      <c r="R32" s="384"/>
      <c r="S32" s="379"/>
      <c r="T32" s="379"/>
      <c r="U32" s="380"/>
      <c r="V32" s="64"/>
      <c r="W32" s="64"/>
      <c r="X32" s="64"/>
      <c r="Y32" s="64"/>
      <c r="Z32" s="64"/>
      <c r="AA32" s="64"/>
      <c r="AB32" s="64"/>
    </row>
    <row r="33" spans="1:28" x14ac:dyDescent="0.25">
      <c r="A33" s="64"/>
      <c r="B33" s="64"/>
      <c r="C33" s="64"/>
      <c r="D33" s="64"/>
      <c r="E33" s="64"/>
      <c r="F33" s="64"/>
      <c r="G33" s="64"/>
      <c r="H33" s="64"/>
      <c r="I33" s="64"/>
      <c r="J33" s="64"/>
      <c r="K33" s="65"/>
      <c r="L33" s="65"/>
      <c r="M33" s="65"/>
      <c r="N33" s="65"/>
      <c r="O33" s="65"/>
      <c r="P33" s="65"/>
      <c r="Q33" s="64"/>
      <c r="R33" s="65"/>
      <c r="S33" s="64"/>
      <c r="T33" s="64"/>
      <c r="U33" s="64"/>
      <c r="V33" s="64"/>
      <c r="W33" s="64"/>
      <c r="X33" s="64"/>
      <c r="Y33" s="64"/>
      <c r="Z33" s="64"/>
      <c r="AA33" s="64"/>
      <c r="AB33" s="64"/>
    </row>
    <row r="34" spans="1:28" x14ac:dyDescent="0.25">
      <c r="A34" s="64"/>
      <c r="B34" s="64"/>
      <c r="C34" s="64"/>
      <c r="D34" s="64"/>
      <c r="E34" s="64"/>
      <c r="F34" s="64"/>
      <c r="G34" s="64"/>
      <c r="H34" s="64"/>
      <c r="I34" s="64"/>
      <c r="J34" s="64"/>
      <c r="K34" s="65"/>
      <c r="L34" s="65"/>
      <c r="M34" s="65"/>
      <c r="N34" s="65"/>
      <c r="O34" s="65"/>
      <c r="P34" s="65"/>
      <c r="Q34" s="64"/>
      <c r="R34" s="65"/>
      <c r="S34" s="64"/>
      <c r="T34" s="64"/>
      <c r="U34" s="66"/>
      <c r="V34" s="64"/>
      <c r="W34" s="64"/>
      <c r="X34" s="64"/>
      <c r="Y34" s="64"/>
      <c r="Z34" s="64"/>
      <c r="AA34" s="64"/>
      <c r="AB34" s="64"/>
    </row>
    <row r="35" spans="1:28" x14ac:dyDescent="0.25">
      <c r="A35" s="64"/>
      <c r="B35" s="64"/>
      <c r="C35" s="64"/>
      <c r="D35" s="64"/>
      <c r="E35" s="64"/>
      <c r="F35" s="64"/>
      <c r="G35" s="64"/>
      <c r="H35" s="64"/>
      <c r="I35" s="64"/>
      <c r="J35" s="64"/>
      <c r="K35" s="65"/>
      <c r="L35" s="65"/>
      <c r="M35" s="65"/>
      <c r="N35" s="65"/>
      <c r="O35" s="65"/>
      <c r="P35" s="65"/>
      <c r="Q35" s="64"/>
      <c r="R35" s="65"/>
      <c r="S35" s="64"/>
      <c r="T35" s="64"/>
      <c r="U35" s="64"/>
      <c r="V35" s="64"/>
      <c r="W35" s="64"/>
      <c r="X35" s="64"/>
      <c r="Y35" s="64"/>
      <c r="Z35" s="64"/>
      <c r="AA35" s="64"/>
      <c r="AB35" s="64"/>
    </row>
    <row r="36" spans="1:28" x14ac:dyDescent="0.25">
      <c r="A36" s="64"/>
      <c r="B36" s="64"/>
      <c r="C36" s="64"/>
      <c r="D36" s="64"/>
      <c r="E36" s="64"/>
      <c r="F36" s="64"/>
      <c r="G36" s="64"/>
      <c r="H36" s="64"/>
      <c r="I36" s="64"/>
      <c r="J36" s="64"/>
      <c r="K36" s="65"/>
      <c r="L36" s="65"/>
      <c r="M36" s="65"/>
      <c r="N36" s="65"/>
      <c r="O36" s="65"/>
      <c r="P36" s="65"/>
      <c r="Q36" s="64"/>
      <c r="R36" s="65"/>
      <c r="S36" s="64"/>
      <c r="T36" s="64"/>
      <c r="U36" s="64"/>
      <c r="V36" s="64"/>
      <c r="W36" s="64"/>
      <c r="X36" s="64"/>
      <c r="Y36" s="64"/>
      <c r="Z36" s="64"/>
      <c r="AA36" s="64"/>
      <c r="AB36" s="64"/>
    </row>
    <row r="37" spans="1:28" x14ac:dyDescent="0.2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5"/>
      <c r="L37" s="65"/>
      <c r="M37" s="65"/>
      <c r="N37" s="65"/>
      <c r="O37" s="65"/>
      <c r="P37" s="65"/>
      <c r="Q37" s="65"/>
      <c r="R37" s="65"/>
      <c r="S37" s="64"/>
      <c r="T37" s="64"/>
      <c r="U37" s="64"/>
      <c r="V37" s="64"/>
      <c r="W37" s="64"/>
      <c r="X37" s="64"/>
      <c r="Y37" s="64"/>
      <c r="Z37" s="64"/>
      <c r="AA37" s="64"/>
      <c r="AB37" s="64"/>
    </row>
    <row r="38" spans="1:28" x14ac:dyDescent="0.25">
      <c r="A38" s="64"/>
      <c r="B38" s="64"/>
      <c r="C38" s="64"/>
      <c r="D38" s="64"/>
      <c r="E38" s="64"/>
      <c r="F38" s="64"/>
      <c r="G38" s="64"/>
      <c r="H38" s="64"/>
      <c r="I38" s="64"/>
      <c r="J38" s="64"/>
      <c r="K38" s="65"/>
      <c r="L38" s="65"/>
      <c r="M38" s="65"/>
      <c r="N38" s="65"/>
      <c r="O38" s="65"/>
      <c r="P38" s="65"/>
      <c r="Q38" s="65"/>
      <c r="R38" s="65"/>
      <c r="S38" s="64"/>
      <c r="T38" s="64"/>
      <c r="U38" s="64"/>
      <c r="V38" s="64"/>
      <c r="W38" s="64"/>
      <c r="X38" s="64"/>
      <c r="Y38" s="64"/>
      <c r="Z38" s="64"/>
      <c r="AA38" s="64"/>
      <c r="AB38" s="64"/>
    </row>
    <row r="39" spans="1:28" x14ac:dyDescent="0.25">
      <c r="A39" s="64"/>
      <c r="B39" s="64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</row>
    <row r="40" spans="1:28" x14ac:dyDescent="0.25">
      <c r="A40" s="64"/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</row>
    <row r="41" spans="1:28" x14ac:dyDescent="0.25">
      <c r="A41" s="64"/>
      <c r="B41" s="64"/>
      <c r="C41" s="64"/>
      <c r="D41" s="64"/>
      <c r="E41" s="64"/>
      <c r="F41" s="64"/>
      <c r="G41" s="64"/>
      <c r="H41" s="64"/>
      <c r="I41" s="64"/>
      <c r="J41" s="64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</row>
    <row r="42" spans="1:28" x14ac:dyDescent="0.25">
      <c r="A42" s="64"/>
      <c r="B42" s="64"/>
      <c r="C42" s="64"/>
      <c r="D42" s="64"/>
      <c r="E42" s="64"/>
      <c r="F42" s="64"/>
      <c r="G42" s="64"/>
      <c r="H42" s="64"/>
      <c r="I42" s="64"/>
      <c r="J42" s="64"/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</row>
    <row r="43" spans="1:28" x14ac:dyDescent="0.25">
      <c r="A43" s="64"/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</row>
    <row r="44" spans="1:28" x14ac:dyDescent="0.25">
      <c r="A44" s="64"/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</row>
    <row r="45" spans="1:28" x14ac:dyDescent="0.25">
      <c r="A45" s="64"/>
      <c r="B45" s="64"/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</row>
    <row r="46" spans="1:28" x14ac:dyDescent="0.2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</row>
    <row r="47" spans="1:28" x14ac:dyDescent="0.2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</row>
    <row r="48" spans="1:28" x14ac:dyDescent="0.25">
      <c r="A48" s="64"/>
      <c r="B48" s="64"/>
      <c r="C48" s="64"/>
      <c r="D48" s="64"/>
      <c r="E48" s="64"/>
      <c r="F48" s="64"/>
      <c r="G48" s="64"/>
      <c r="H48" s="64"/>
      <c r="I48" s="64"/>
      <c r="J48" s="64"/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</row>
    <row r="49" spans="1:28" x14ac:dyDescent="0.25">
      <c r="A49" s="64"/>
      <c r="B49" s="64"/>
      <c r="C49" s="64"/>
      <c r="D49" s="64"/>
      <c r="E49" s="64"/>
      <c r="F49" s="64"/>
      <c r="G49" s="64"/>
      <c r="H49" s="64"/>
      <c r="I49" s="64"/>
      <c r="J49" s="64"/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</row>
  </sheetData>
  <mergeCells count="131">
    <mergeCell ref="B4:K5"/>
    <mergeCell ref="K6:K7"/>
    <mergeCell ref="I31:K32"/>
    <mergeCell ref="I24:J24"/>
    <mergeCell ref="I26:J26"/>
    <mergeCell ref="I27:J27"/>
    <mergeCell ref="I28:J28"/>
    <mergeCell ref="I29:J29"/>
    <mergeCell ref="I11:J11"/>
    <mergeCell ref="I12:J12"/>
    <mergeCell ref="I14:J14"/>
    <mergeCell ref="I15:J15"/>
    <mergeCell ref="I16:J16"/>
    <mergeCell ref="I17:J17"/>
    <mergeCell ref="I18:J18"/>
    <mergeCell ref="I19:J19"/>
    <mergeCell ref="I20:J20"/>
    <mergeCell ref="B22:E22"/>
    <mergeCell ref="B23:E23"/>
    <mergeCell ref="B24:E24"/>
    <mergeCell ref="B25:E25"/>
    <mergeCell ref="B26:E26"/>
    <mergeCell ref="F17:G17"/>
    <mergeCell ref="F18:G18"/>
    <mergeCell ref="B6:E7"/>
    <mergeCell ref="I6:J7"/>
    <mergeCell ref="B8:E8"/>
    <mergeCell ref="B9:E9"/>
    <mergeCell ref="F6:G7"/>
    <mergeCell ref="H6:H7"/>
    <mergeCell ref="F8:G8"/>
    <mergeCell ref="F9:G9"/>
    <mergeCell ref="I13:J13"/>
    <mergeCell ref="I8:J8"/>
    <mergeCell ref="I9:J9"/>
    <mergeCell ref="F10:G10"/>
    <mergeCell ref="I10:J10"/>
    <mergeCell ref="B21:E21"/>
    <mergeCell ref="B10:E10"/>
    <mergeCell ref="B11:E11"/>
    <mergeCell ref="B12:E12"/>
    <mergeCell ref="B13:E13"/>
    <mergeCell ref="B14:E14"/>
    <mergeCell ref="B15:E15"/>
    <mergeCell ref="B16:E16"/>
    <mergeCell ref="B17:E17"/>
    <mergeCell ref="B18:E18"/>
    <mergeCell ref="B19:E19"/>
    <mergeCell ref="B20:E20"/>
    <mergeCell ref="B31:H32"/>
    <mergeCell ref="F25:G25"/>
    <mergeCell ref="F26:G26"/>
    <mergeCell ref="F27:G27"/>
    <mergeCell ref="F28:G28"/>
    <mergeCell ref="F29:G29"/>
    <mergeCell ref="I25:J25"/>
    <mergeCell ref="I30:J30"/>
    <mergeCell ref="B28:E28"/>
    <mergeCell ref="B29:E29"/>
    <mergeCell ref="B30:E30"/>
    <mergeCell ref="B27:E27"/>
    <mergeCell ref="F30:G30"/>
    <mergeCell ref="F24:G24"/>
    <mergeCell ref="F11:G11"/>
    <mergeCell ref="F12:G12"/>
    <mergeCell ref="F15:G15"/>
    <mergeCell ref="F16:G16"/>
    <mergeCell ref="F22:G22"/>
    <mergeCell ref="F13:G13"/>
    <mergeCell ref="F14:G14"/>
    <mergeCell ref="F23:G23"/>
    <mergeCell ref="F21:G21"/>
    <mergeCell ref="F19:G19"/>
    <mergeCell ref="F20:G20"/>
    <mergeCell ref="M14:P14"/>
    <mergeCell ref="S14:T14"/>
    <mergeCell ref="M17:P17"/>
    <mergeCell ref="S17:T17"/>
    <mergeCell ref="M18:P18"/>
    <mergeCell ref="S18:T18"/>
    <mergeCell ref="M15:P15"/>
    <mergeCell ref="S15:T15"/>
    <mergeCell ref="M16:P16"/>
    <mergeCell ref="I21:J21"/>
    <mergeCell ref="I22:J22"/>
    <mergeCell ref="I23:J23"/>
    <mergeCell ref="S22:T22"/>
    <mergeCell ref="M19:P19"/>
    <mergeCell ref="S19:T19"/>
    <mergeCell ref="M20:P20"/>
    <mergeCell ref="S20:T20"/>
    <mergeCell ref="M6:P7"/>
    <mergeCell ref="Q6:Q7"/>
    <mergeCell ref="R6:R7"/>
    <mergeCell ref="S6:T7"/>
    <mergeCell ref="M8:P8"/>
    <mergeCell ref="S8:T8"/>
    <mergeCell ref="M13:P13"/>
    <mergeCell ref="S13:T13"/>
    <mergeCell ref="M11:P11"/>
    <mergeCell ref="S11:T11"/>
    <mergeCell ref="M12:P12"/>
    <mergeCell ref="S12:T12"/>
    <mergeCell ref="M9:P9"/>
    <mergeCell ref="S9:T9"/>
    <mergeCell ref="M10:P10"/>
    <mergeCell ref="S10:T10"/>
    <mergeCell ref="M4:U5"/>
    <mergeCell ref="U6:U7"/>
    <mergeCell ref="S31:U32"/>
    <mergeCell ref="M31:R32"/>
    <mergeCell ref="M29:P29"/>
    <mergeCell ref="S29:T29"/>
    <mergeCell ref="M30:P30"/>
    <mergeCell ref="S30:T30"/>
    <mergeCell ref="M27:P27"/>
    <mergeCell ref="S27:T27"/>
    <mergeCell ref="M28:P28"/>
    <mergeCell ref="S28:T28"/>
    <mergeCell ref="M25:P25"/>
    <mergeCell ref="S25:T25"/>
    <mergeCell ref="M26:P26"/>
    <mergeCell ref="S26:T26"/>
    <mergeCell ref="M23:P23"/>
    <mergeCell ref="S23:T23"/>
    <mergeCell ref="M24:P24"/>
    <mergeCell ref="S24:T24"/>
    <mergeCell ref="S16:T16"/>
    <mergeCell ref="M21:P21"/>
    <mergeCell ref="S21:T21"/>
    <mergeCell ref="M22:P22"/>
  </mergeCells>
  <conditionalFormatting sqref="B8:K30">
    <cfRule type="expression" dxfId="1" priority="4">
      <formula>MOD(ROW(),2)=0</formula>
    </cfRule>
  </conditionalFormatting>
  <conditionalFormatting sqref="M8:U15 M21:U30 Q16:U20">
    <cfRule type="expression" dxfId="70" priority="2">
      <formula>MOD(ROW(),2)=0</formula>
    </cfRule>
  </conditionalFormatting>
  <conditionalFormatting sqref="M16:P20">
    <cfRule type="expression" dxfId="5" priority="1">
      <formula>MOD(ROW(),2)=0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3" r:id="rId4" name="Check Box 25">
              <controlPr locked="0" defaultSize="0" autoFill="0" autoLine="0" autoPict="0">
                <anchor moveWithCells="1">
                  <from>
                    <xdr:col>20</xdr:col>
                    <xdr:colOff>180975</xdr:colOff>
                    <xdr:row>7</xdr:row>
                    <xdr:rowOff>9525</xdr:rowOff>
                  </from>
                  <to>
                    <xdr:col>20</xdr:col>
                    <xdr:colOff>381000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5" name="Check Box 26">
              <controlPr locked="0" defaultSize="0" autoFill="0" autoLine="0" autoPict="0">
                <anchor moveWithCells="1">
                  <from>
                    <xdr:col>20</xdr:col>
                    <xdr:colOff>180975</xdr:colOff>
                    <xdr:row>8</xdr:row>
                    <xdr:rowOff>9525</xdr:rowOff>
                  </from>
                  <to>
                    <xdr:col>20</xdr:col>
                    <xdr:colOff>381000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6" name="Check Box 27">
              <controlPr locked="0" defaultSize="0" autoFill="0" autoLine="0" autoPict="0">
                <anchor moveWithCells="1">
                  <from>
                    <xdr:col>20</xdr:col>
                    <xdr:colOff>180975</xdr:colOff>
                    <xdr:row>9</xdr:row>
                    <xdr:rowOff>9525</xdr:rowOff>
                  </from>
                  <to>
                    <xdr:col>20</xdr:col>
                    <xdr:colOff>381000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7" name="Check Box 28">
              <controlPr locked="0" defaultSize="0" autoFill="0" autoLine="0" autoPict="0">
                <anchor moveWithCells="1">
                  <from>
                    <xdr:col>20</xdr:col>
                    <xdr:colOff>180975</xdr:colOff>
                    <xdr:row>10</xdr:row>
                    <xdr:rowOff>9525</xdr:rowOff>
                  </from>
                  <to>
                    <xdr:col>20</xdr:col>
                    <xdr:colOff>381000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8" name="Check Box 29">
              <controlPr locked="0" defaultSize="0" autoFill="0" autoLine="0" autoPict="0">
                <anchor moveWithCells="1">
                  <from>
                    <xdr:col>20</xdr:col>
                    <xdr:colOff>180975</xdr:colOff>
                    <xdr:row>11</xdr:row>
                    <xdr:rowOff>9525</xdr:rowOff>
                  </from>
                  <to>
                    <xdr:col>20</xdr:col>
                    <xdr:colOff>381000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9" name="Check Box 30">
              <controlPr locked="0" defaultSize="0" autoFill="0" autoLine="0" autoPict="0">
                <anchor moveWithCells="1">
                  <from>
                    <xdr:col>20</xdr:col>
                    <xdr:colOff>180975</xdr:colOff>
                    <xdr:row>12</xdr:row>
                    <xdr:rowOff>9525</xdr:rowOff>
                  </from>
                  <to>
                    <xdr:col>20</xdr:col>
                    <xdr:colOff>381000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0" name="Check Box 31">
              <controlPr locked="0" defaultSize="0" autoFill="0" autoLine="0" autoPict="0">
                <anchor moveWithCells="1">
                  <from>
                    <xdr:col>20</xdr:col>
                    <xdr:colOff>180975</xdr:colOff>
                    <xdr:row>13</xdr:row>
                    <xdr:rowOff>9525</xdr:rowOff>
                  </from>
                  <to>
                    <xdr:col>20</xdr:col>
                    <xdr:colOff>381000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1" name="Check Box 32">
              <controlPr locked="0" defaultSize="0" autoFill="0" autoLine="0" autoPict="0">
                <anchor moveWithCells="1">
                  <from>
                    <xdr:col>20</xdr:col>
                    <xdr:colOff>180975</xdr:colOff>
                    <xdr:row>14</xdr:row>
                    <xdr:rowOff>9525</xdr:rowOff>
                  </from>
                  <to>
                    <xdr:col>20</xdr:col>
                    <xdr:colOff>381000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2" name="Check Box 33">
              <controlPr locked="0" defaultSize="0" autoFill="0" autoLine="0" autoPict="0">
                <anchor moveWithCells="1">
                  <from>
                    <xdr:col>20</xdr:col>
                    <xdr:colOff>180975</xdr:colOff>
                    <xdr:row>15</xdr:row>
                    <xdr:rowOff>9525</xdr:rowOff>
                  </from>
                  <to>
                    <xdr:col>20</xdr:col>
                    <xdr:colOff>381000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3" name="Check Box 34">
              <controlPr locked="0" defaultSize="0" autoFill="0" autoLine="0" autoPict="0">
                <anchor moveWithCells="1">
                  <from>
                    <xdr:col>20</xdr:col>
                    <xdr:colOff>180975</xdr:colOff>
                    <xdr:row>16</xdr:row>
                    <xdr:rowOff>9525</xdr:rowOff>
                  </from>
                  <to>
                    <xdr:col>20</xdr:col>
                    <xdr:colOff>381000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14" name="Check Box 35">
              <controlPr locked="0" defaultSize="0" autoFill="0" autoLine="0" autoPict="0">
                <anchor moveWithCells="1">
                  <from>
                    <xdr:col>20</xdr:col>
                    <xdr:colOff>180975</xdr:colOff>
                    <xdr:row>17</xdr:row>
                    <xdr:rowOff>9525</xdr:rowOff>
                  </from>
                  <to>
                    <xdr:col>20</xdr:col>
                    <xdr:colOff>381000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15" name="Check Box 36">
              <controlPr locked="0" defaultSize="0" autoFill="0" autoLine="0" autoPict="0">
                <anchor moveWithCells="1">
                  <from>
                    <xdr:col>20</xdr:col>
                    <xdr:colOff>180975</xdr:colOff>
                    <xdr:row>18</xdr:row>
                    <xdr:rowOff>9525</xdr:rowOff>
                  </from>
                  <to>
                    <xdr:col>20</xdr:col>
                    <xdr:colOff>381000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16" name="Check Box 37">
              <controlPr locked="0" defaultSize="0" autoFill="0" autoLine="0" autoPict="0">
                <anchor moveWithCells="1">
                  <from>
                    <xdr:col>20</xdr:col>
                    <xdr:colOff>180975</xdr:colOff>
                    <xdr:row>19</xdr:row>
                    <xdr:rowOff>9525</xdr:rowOff>
                  </from>
                  <to>
                    <xdr:col>20</xdr:col>
                    <xdr:colOff>381000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17" name="Check Box 38">
              <controlPr locked="0" defaultSize="0" autoFill="0" autoLine="0" autoPict="0">
                <anchor moveWithCells="1">
                  <from>
                    <xdr:col>20</xdr:col>
                    <xdr:colOff>180975</xdr:colOff>
                    <xdr:row>20</xdr:row>
                    <xdr:rowOff>9525</xdr:rowOff>
                  </from>
                  <to>
                    <xdr:col>20</xdr:col>
                    <xdr:colOff>381000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18" name="Check Box 39">
              <controlPr locked="0" defaultSize="0" autoFill="0" autoLine="0" autoPict="0">
                <anchor moveWithCells="1">
                  <from>
                    <xdr:col>20</xdr:col>
                    <xdr:colOff>180975</xdr:colOff>
                    <xdr:row>21</xdr:row>
                    <xdr:rowOff>9525</xdr:rowOff>
                  </from>
                  <to>
                    <xdr:col>20</xdr:col>
                    <xdr:colOff>381000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19" name="Check Box 40">
              <controlPr locked="0" defaultSize="0" autoFill="0" autoLine="0" autoPict="0">
                <anchor moveWithCells="1">
                  <from>
                    <xdr:col>20</xdr:col>
                    <xdr:colOff>180975</xdr:colOff>
                    <xdr:row>22</xdr:row>
                    <xdr:rowOff>9525</xdr:rowOff>
                  </from>
                  <to>
                    <xdr:col>20</xdr:col>
                    <xdr:colOff>381000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0" name="Check Box 41">
              <controlPr locked="0" defaultSize="0" autoFill="0" autoLine="0" autoPict="0">
                <anchor moveWithCells="1">
                  <from>
                    <xdr:col>20</xdr:col>
                    <xdr:colOff>180975</xdr:colOff>
                    <xdr:row>23</xdr:row>
                    <xdr:rowOff>9525</xdr:rowOff>
                  </from>
                  <to>
                    <xdr:col>20</xdr:col>
                    <xdr:colOff>381000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1" name="Check Box 42">
              <controlPr locked="0" defaultSize="0" autoFill="0" autoLine="0" autoPict="0">
                <anchor moveWithCells="1">
                  <from>
                    <xdr:col>20</xdr:col>
                    <xdr:colOff>180975</xdr:colOff>
                    <xdr:row>24</xdr:row>
                    <xdr:rowOff>9525</xdr:rowOff>
                  </from>
                  <to>
                    <xdr:col>20</xdr:col>
                    <xdr:colOff>381000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22" name="Check Box 43">
              <controlPr locked="0" defaultSize="0" autoFill="0" autoLine="0" autoPict="0">
                <anchor moveWithCells="1">
                  <from>
                    <xdr:col>20</xdr:col>
                    <xdr:colOff>180975</xdr:colOff>
                    <xdr:row>25</xdr:row>
                    <xdr:rowOff>9525</xdr:rowOff>
                  </from>
                  <to>
                    <xdr:col>20</xdr:col>
                    <xdr:colOff>381000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23" name="Check Box 44">
              <controlPr locked="0" defaultSize="0" autoFill="0" autoLine="0" autoPict="0">
                <anchor moveWithCells="1">
                  <from>
                    <xdr:col>20</xdr:col>
                    <xdr:colOff>180975</xdr:colOff>
                    <xdr:row>26</xdr:row>
                    <xdr:rowOff>9525</xdr:rowOff>
                  </from>
                  <to>
                    <xdr:col>20</xdr:col>
                    <xdr:colOff>381000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24" name="Check Box 45">
              <controlPr locked="0" defaultSize="0" autoFill="0" autoLine="0" autoPict="0">
                <anchor moveWithCells="1">
                  <from>
                    <xdr:col>20</xdr:col>
                    <xdr:colOff>180975</xdr:colOff>
                    <xdr:row>27</xdr:row>
                    <xdr:rowOff>9525</xdr:rowOff>
                  </from>
                  <to>
                    <xdr:col>20</xdr:col>
                    <xdr:colOff>381000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25" name="Check Box 46">
              <controlPr locked="0" defaultSize="0" autoFill="0" autoLine="0" autoPict="0">
                <anchor moveWithCells="1">
                  <from>
                    <xdr:col>20</xdr:col>
                    <xdr:colOff>180975</xdr:colOff>
                    <xdr:row>28</xdr:row>
                    <xdr:rowOff>9525</xdr:rowOff>
                  </from>
                  <to>
                    <xdr:col>20</xdr:col>
                    <xdr:colOff>381000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26" name="Check Box 47">
              <controlPr locked="0" defaultSize="0" autoFill="0" autoLine="0" autoPict="0">
                <anchor moveWithCells="1">
                  <from>
                    <xdr:col>20</xdr:col>
                    <xdr:colOff>180975</xdr:colOff>
                    <xdr:row>29</xdr:row>
                    <xdr:rowOff>9525</xdr:rowOff>
                  </from>
                  <to>
                    <xdr:col>20</xdr:col>
                    <xdr:colOff>381000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27" name="Check Box 48">
              <controlPr locked="0" defaultSize="0" autoFill="0" autoLine="0" autoPict="0">
                <anchor moveWithCells="1">
                  <from>
                    <xdr:col>10</xdr:col>
                    <xdr:colOff>190500</xdr:colOff>
                    <xdr:row>6</xdr:row>
                    <xdr:rowOff>171450</xdr:rowOff>
                  </from>
                  <to>
                    <xdr:col>10</xdr:col>
                    <xdr:colOff>495300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28" name="Check Box 49">
              <controlPr locked="0" defaultSize="0" autoFill="0" autoLine="0" autoPict="0">
                <anchor moveWithCells="1">
                  <from>
                    <xdr:col>10</xdr:col>
                    <xdr:colOff>190500</xdr:colOff>
                    <xdr:row>8</xdr:row>
                    <xdr:rowOff>38100</xdr:rowOff>
                  </from>
                  <to>
                    <xdr:col>10</xdr:col>
                    <xdr:colOff>400050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29" name="Check Box 50">
              <controlPr locked="0" defaultSize="0" autoFill="0" autoLine="0" autoPict="0">
                <anchor moveWithCells="1">
                  <from>
                    <xdr:col>10</xdr:col>
                    <xdr:colOff>190500</xdr:colOff>
                    <xdr:row>9</xdr:row>
                    <xdr:rowOff>38100</xdr:rowOff>
                  </from>
                  <to>
                    <xdr:col>10</xdr:col>
                    <xdr:colOff>400050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0" name="Check Box 51">
              <controlPr locked="0" defaultSize="0" autoFill="0" autoLine="0" autoPict="0">
                <anchor moveWithCells="1">
                  <from>
                    <xdr:col>10</xdr:col>
                    <xdr:colOff>190500</xdr:colOff>
                    <xdr:row>10</xdr:row>
                    <xdr:rowOff>38100</xdr:rowOff>
                  </from>
                  <to>
                    <xdr:col>10</xdr:col>
                    <xdr:colOff>400050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1" name="Check Box 52">
              <controlPr locked="0" defaultSize="0" autoFill="0" autoLine="0" autoPict="0">
                <anchor moveWithCells="1">
                  <from>
                    <xdr:col>10</xdr:col>
                    <xdr:colOff>190500</xdr:colOff>
                    <xdr:row>11</xdr:row>
                    <xdr:rowOff>38100</xdr:rowOff>
                  </from>
                  <to>
                    <xdr:col>10</xdr:col>
                    <xdr:colOff>400050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32" name="Check Box 53">
              <controlPr locked="0" defaultSize="0" autoFill="0" autoLine="0" autoPict="0">
                <anchor moveWithCells="1">
                  <from>
                    <xdr:col>10</xdr:col>
                    <xdr:colOff>190500</xdr:colOff>
                    <xdr:row>12</xdr:row>
                    <xdr:rowOff>38100</xdr:rowOff>
                  </from>
                  <to>
                    <xdr:col>10</xdr:col>
                    <xdr:colOff>400050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33" name="Check Box 54">
              <controlPr locked="0" defaultSize="0" autoFill="0" autoLine="0" autoPict="0">
                <anchor moveWithCells="1">
                  <from>
                    <xdr:col>10</xdr:col>
                    <xdr:colOff>190500</xdr:colOff>
                    <xdr:row>13</xdr:row>
                    <xdr:rowOff>38100</xdr:rowOff>
                  </from>
                  <to>
                    <xdr:col>10</xdr:col>
                    <xdr:colOff>400050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34" name="Check Box 55">
              <controlPr locked="0" defaultSize="0" autoFill="0" autoLine="0" autoPict="0">
                <anchor moveWithCells="1">
                  <from>
                    <xdr:col>10</xdr:col>
                    <xdr:colOff>190500</xdr:colOff>
                    <xdr:row>14</xdr:row>
                    <xdr:rowOff>38100</xdr:rowOff>
                  </from>
                  <to>
                    <xdr:col>10</xdr:col>
                    <xdr:colOff>400050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35" name="Check Box 56">
              <controlPr locked="0" defaultSize="0" autoFill="0" autoLine="0" autoPict="0">
                <anchor moveWithCells="1">
                  <from>
                    <xdr:col>10</xdr:col>
                    <xdr:colOff>190500</xdr:colOff>
                    <xdr:row>15</xdr:row>
                    <xdr:rowOff>38100</xdr:rowOff>
                  </from>
                  <to>
                    <xdr:col>10</xdr:col>
                    <xdr:colOff>400050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36" name="Check Box 57">
              <controlPr locked="0" defaultSize="0" autoFill="0" autoLine="0" autoPict="0">
                <anchor moveWithCells="1">
                  <from>
                    <xdr:col>10</xdr:col>
                    <xdr:colOff>190500</xdr:colOff>
                    <xdr:row>16</xdr:row>
                    <xdr:rowOff>38100</xdr:rowOff>
                  </from>
                  <to>
                    <xdr:col>10</xdr:col>
                    <xdr:colOff>400050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37" name="Check Box 58">
              <controlPr locked="0" defaultSize="0" autoFill="0" autoLine="0" autoPict="0">
                <anchor moveWithCells="1">
                  <from>
                    <xdr:col>10</xdr:col>
                    <xdr:colOff>190500</xdr:colOff>
                    <xdr:row>17</xdr:row>
                    <xdr:rowOff>38100</xdr:rowOff>
                  </from>
                  <to>
                    <xdr:col>10</xdr:col>
                    <xdr:colOff>400050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38" name="Check Box 59">
              <controlPr locked="0" defaultSize="0" autoFill="0" autoLine="0" autoPict="0">
                <anchor moveWithCells="1">
                  <from>
                    <xdr:col>10</xdr:col>
                    <xdr:colOff>190500</xdr:colOff>
                    <xdr:row>18</xdr:row>
                    <xdr:rowOff>38100</xdr:rowOff>
                  </from>
                  <to>
                    <xdr:col>10</xdr:col>
                    <xdr:colOff>400050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39" name="Check Box 60">
              <controlPr locked="0" defaultSize="0" autoFill="0" autoLine="0" autoPict="0">
                <anchor moveWithCells="1">
                  <from>
                    <xdr:col>10</xdr:col>
                    <xdr:colOff>190500</xdr:colOff>
                    <xdr:row>19</xdr:row>
                    <xdr:rowOff>38100</xdr:rowOff>
                  </from>
                  <to>
                    <xdr:col>10</xdr:col>
                    <xdr:colOff>400050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0" name="Check Box 61">
              <controlPr locked="0" defaultSize="0" autoFill="0" autoLine="0" autoPict="0">
                <anchor moveWithCells="1">
                  <from>
                    <xdr:col>10</xdr:col>
                    <xdr:colOff>190500</xdr:colOff>
                    <xdr:row>20</xdr:row>
                    <xdr:rowOff>38100</xdr:rowOff>
                  </from>
                  <to>
                    <xdr:col>10</xdr:col>
                    <xdr:colOff>400050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1" name="Check Box 62">
              <controlPr locked="0" defaultSize="0" autoFill="0" autoLine="0" autoPict="0">
                <anchor moveWithCells="1">
                  <from>
                    <xdr:col>10</xdr:col>
                    <xdr:colOff>190500</xdr:colOff>
                    <xdr:row>21</xdr:row>
                    <xdr:rowOff>38100</xdr:rowOff>
                  </from>
                  <to>
                    <xdr:col>10</xdr:col>
                    <xdr:colOff>400050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42" name="Check Box 63">
              <controlPr locked="0" defaultSize="0" autoFill="0" autoLine="0" autoPict="0">
                <anchor moveWithCells="1">
                  <from>
                    <xdr:col>10</xdr:col>
                    <xdr:colOff>190500</xdr:colOff>
                    <xdr:row>22</xdr:row>
                    <xdr:rowOff>38100</xdr:rowOff>
                  </from>
                  <to>
                    <xdr:col>10</xdr:col>
                    <xdr:colOff>400050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43" name="Check Box 64">
              <controlPr locked="0" defaultSize="0" autoFill="0" autoLine="0" autoPict="0">
                <anchor moveWithCells="1">
                  <from>
                    <xdr:col>10</xdr:col>
                    <xdr:colOff>190500</xdr:colOff>
                    <xdr:row>23</xdr:row>
                    <xdr:rowOff>38100</xdr:rowOff>
                  </from>
                  <to>
                    <xdr:col>10</xdr:col>
                    <xdr:colOff>400050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44" name="Check Box 65">
              <controlPr locked="0" defaultSize="0" autoFill="0" autoLine="0" autoPict="0">
                <anchor moveWithCells="1">
                  <from>
                    <xdr:col>10</xdr:col>
                    <xdr:colOff>190500</xdr:colOff>
                    <xdr:row>24</xdr:row>
                    <xdr:rowOff>38100</xdr:rowOff>
                  </from>
                  <to>
                    <xdr:col>10</xdr:col>
                    <xdr:colOff>400050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45" name="Check Box 66">
              <controlPr locked="0" defaultSize="0" autoFill="0" autoLine="0" autoPict="0">
                <anchor moveWithCells="1">
                  <from>
                    <xdr:col>10</xdr:col>
                    <xdr:colOff>190500</xdr:colOff>
                    <xdr:row>25</xdr:row>
                    <xdr:rowOff>38100</xdr:rowOff>
                  </from>
                  <to>
                    <xdr:col>10</xdr:col>
                    <xdr:colOff>400050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46" name="Check Box 67">
              <controlPr locked="0" defaultSize="0" autoFill="0" autoLine="0" autoPict="0">
                <anchor moveWithCells="1">
                  <from>
                    <xdr:col>10</xdr:col>
                    <xdr:colOff>190500</xdr:colOff>
                    <xdr:row>26</xdr:row>
                    <xdr:rowOff>38100</xdr:rowOff>
                  </from>
                  <to>
                    <xdr:col>10</xdr:col>
                    <xdr:colOff>400050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47" name="Check Box 68">
              <controlPr locked="0" defaultSize="0" autoFill="0" autoLine="0" autoPict="0">
                <anchor moveWithCells="1">
                  <from>
                    <xdr:col>10</xdr:col>
                    <xdr:colOff>190500</xdr:colOff>
                    <xdr:row>27</xdr:row>
                    <xdr:rowOff>38100</xdr:rowOff>
                  </from>
                  <to>
                    <xdr:col>10</xdr:col>
                    <xdr:colOff>400050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48" name="Check Box 69">
              <controlPr locked="0" defaultSize="0" autoFill="0" autoLine="0" autoPict="0">
                <anchor moveWithCells="1">
                  <from>
                    <xdr:col>10</xdr:col>
                    <xdr:colOff>190500</xdr:colOff>
                    <xdr:row>28</xdr:row>
                    <xdr:rowOff>38100</xdr:rowOff>
                  </from>
                  <to>
                    <xdr:col>10</xdr:col>
                    <xdr:colOff>400050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49" name="Check Box 70">
              <controlPr locked="0" defaultSize="0" autoFill="0" autoLine="0" autoPict="0">
                <anchor moveWithCells="1">
                  <from>
                    <xdr:col>10</xdr:col>
                    <xdr:colOff>190500</xdr:colOff>
                    <xdr:row>29</xdr:row>
                    <xdr:rowOff>38100</xdr:rowOff>
                  </from>
                  <to>
                    <xdr:col>10</xdr:col>
                    <xdr:colOff>400050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AN335"/>
  <sheetViews>
    <sheetView workbookViewId="0">
      <pane ySplit="6" topLeftCell="A7" activePane="bottomLeft" state="frozen"/>
      <selection pane="bottomLeft" activeCell="B7" sqref="B7"/>
    </sheetView>
  </sheetViews>
  <sheetFormatPr defaultRowHeight="15" x14ac:dyDescent="0.25"/>
  <cols>
    <col min="1" max="1" width="3.28515625" customWidth="1"/>
    <col min="2" max="2" width="23.140625" style="43" customWidth="1"/>
    <col min="3" max="3" width="22.7109375" style="43" customWidth="1"/>
    <col min="4" max="4" width="13.140625" style="43" customWidth="1"/>
    <col min="5" max="5" width="9.140625" style="43"/>
    <col min="6" max="6" width="8.5703125" style="27" bestFit="1" customWidth="1"/>
    <col min="7" max="7" width="12.28515625" style="43" bestFit="1" customWidth="1"/>
    <col min="8" max="8" width="10.5703125" style="43" bestFit="1" customWidth="1"/>
    <col min="9" max="9" width="12.5703125" style="43" bestFit="1" customWidth="1"/>
    <col min="10" max="10" width="12.5703125" style="43" customWidth="1"/>
    <col min="11" max="11" width="10.5703125" style="43" bestFit="1" customWidth="1"/>
    <col min="12" max="12" width="11.85546875" style="43" bestFit="1" customWidth="1"/>
    <col min="13" max="13" width="14.140625" style="43" bestFit="1" customWidth="1"/>
    <col min="14" max="14" width="16.7109375" style="43" bestFit="1" customWidth="1"/>
    <col min="15" max="15" width="9.42578125" customWidth="1"/>
    <col min="16" max="16" width="15.42578125" customWidth="1"/>
    <col min="17" max="17" width="17.5703125" customWidth="1"/>
    <col min="18" max="18" width="22.5703125" customWidth="1"/>
    <col min="19" max="19" width="18" customWidth="1"/>
    <col min="20" max="20" width="4.7109375" customWidth="1"/>
    <col min="21" max="21" width="2.140625" customWidth="1"/>
    <col min="22" max="22" width="6.140625" customWidth="1"/>
    <col min="25" max="25" width="13.42578125" customWidth="1"/>
    <col min="28" max="28" width="12.5703125" bestFit="1" customWidth="1"/>
    <col min="31" max="31" width="11.5703125" bestFit="1" customWidth="1"/>
    <col min="37" max="37" width="16.85546875" customWidth="1"/>
    <col min="38" max="38" width="12.5703125" bestFit="1" customWidth="1"/>
  </cols>
  <sheetData>
    <row r="1" spans="1:39" ht="15.75" thickBot="1" x14ac:dyDescent="0.3">
      <c r="A1" s="20"/>
      <c r="B1" s="32"/>
      <c r="C1" s="32"/>
      <c r="D1" s="32"/>
      <c r="E1" s="32"/>
      <c r="F1" s="31"/>
      <c r="G1" s="32"/>
      <c r="H1" s="32"/>
      <c r="I1" s="32"/>
      <c r="J1" s="32"/>
      <c r="K1" s="32"/>
      <c r="L1" s="32"/>
      <c r="M1" s="32"/>
      <c r="N1" s="32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</row>
    <row r="2" spans="1:39" ht="15" customHeight="1" x14ac:dyDescent="0.25">
      <c r="A2" s="20"/>
      <c r="B2" s="415" t="s">
        <v>137</v>
      </c>
      <c r="C2" s="416"/>
      <c r="D2" s="416"/>
      <c r="E2" s="416"/>
      <c r="F2" s="416"/>
      <c r="G2" s="55"/>
      <c r="H2" s="55"/>
      <c r="I2" s="54"/>
      <c r="J2" s="54"/>
      <c r="K2" s="54"/>
      <c r="L2" s="53"/>
      <c r="M2" s="54"/>
      <c r="N2" s="54"/>
      <c r="O2" s="53"/>
      <c r="P2" s="55"/>
      <c r="Q2" s="55"/>
      <c r="R2" s="53"/>
      <c r="S2" s="56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63">
        <f>SUM(M3,M4,P3,P4)</f>
        <v>238034.08000000002</v>
      </c>
      <c r="AL2" s="20"/>
      <c r="AM2" s="20"/>
    </row>
    <row r="3" spans="1:39" ht="15" customHeight="1" x14ac:dyDescent="0.25">
      <c r="A3" s="20"/>
      <c r="B3" s="417"/>
      <c r="C3" s="418"/>
      <c r="D3" s="418"/>
      <c r="E3" s="418"/>
      <c r="F3" s="418"/>
      <c r="G3" s="421" t="s">
        <v>16</v>
      </c>
      <c r="H3" s="422"/>
      <c r="I3" s="429">
        <f>SUM(G7:G90)</f>
        <v>238034.07999999996</v>
      </c>
      <c r="J3" s="429"/>
      <c r="K3" s="425" t="s">
        <v>128</v>
      </c>
      <c r="L3" s="425"/>
      <c r="M3" s="58">
        <f>SUM(H7:H90)</f>
        <v>114230.56000000001</v>
      </c>
      <c r="N3" s="428" t="s">
        <v>130</v>
      </c>
      <c r="O3" s="428"/>
      <c r="P3" s="59">
        <f>SUM(L7:L90)</f>
        <v>23512.12</v>
      </c>
      <c r="Q3" s="413" t="s">
        <v>43</v>
      </c>
      <c r="R3" s="411">
        <f>COUNTIF(C7:C90,"*")</f>
        <v>0</v>
      </c>
      <c r="S3" s="62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</row>
    <row r="4" spans="1:39" ht="15" customHeight="1" x14ac:dyDescent="0.25">
      <c r="A4" s="20"/>
      <c r="B4" s="417"/>
      <c r="C4" s="418"/>
      <c r="D4" s="418"/>
      <c r="E4" s="418"/>
      <c r="F4" s="418"/>
      <c r="G4" s="423"/>
      <c r="H4" s="424"/>
      <c r="I4" s="430"/>
      <c r="J4" s="430"/>
      <c r="K4" s="426" t="s">
        <v>129</v>
      </c>
      <c r="L4" s="426"/>
      <c r="M4" s="60">
        <f>SUM(M7:M90)</f>
        <v>44767.91</v>
      </c>
      <c r="N4" s="427" t="s">
        <v>131</v>
      </c>
      <c r="O4" s="427"/>
      <c r="P4" s="61">
        <f>SUM((K7:K90),(N7:N90),(I7:I90),(J7:J90))</f>
        <v>55523.489999999991</v>
      </c>
      <c r="Q4" s="414"/>
      <c r="R4" s="412"/>
      <c r="S4" s="62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</row>
    <row r="5" spans="1:39" ht="15" customHeight="1" thickBot="1" x14ac:dyDescent="0.3">
      <c r="A5" s="20"/>
      <c r="B5" s="419"/>
      <c r="C5" s="420"/>
      <c r="D5" s="420"/>
      <c r="E5" s="420"/>
      <c r="F5" s="420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1"/>
      <c r="S5" s="52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</row>
    <row r="6" spans="1:39" ht="15" customHeight="1" x14ac:dyDescent="0.25">
      <c r="A6" s="20"/>
      <c r="B6" s="28" t="s">
        <v>91</v>
      </c>
      <c r="C6" s="29" t="s">
        <v>8</v>
      </c>
      <c r="D6" s="29" t="s">
        <v>112</v>
      </c>
      <c r="E6" s="29" t="s">
        <v>111</v>
      </c>
      <c r="F6" s="73" t="s">
        <v>92</v>
      </c>
      <c r="G6" s="29" t="s">
        <v>16</v>
      </c>
      <c r="H6" s="29" t="s">
        <v>113</v>
      </c>
      <c r="I6" s="29" t="s">
        <v>114</v>
      </c>
      <c r="J6" s="29" t="s">
        <v>149</v>
      </c>
      <c r="K6" s="29" t="s">
        <v>123</v>
      </c>
      <c r="L6" s="29" t="s">
        <v>115</v>
      </c>
      <c r="M6" s="29" t="s">
        <v>116</v>
      </c>
      <c r="N6" s="29" t="s">
        <v>117</v>
      </c>
      <c r="O6" s="41" t="s">
        <v>118</v>
      </c>
      <c r="P6" s="41" t="s">
        <v>121</v>
      </c>
      <c r="Q6" s="41" t="s">
        <v>122</v>
      </c>
      <c r="R6" s="41" t="s">
        <v>119</v>
      </c>
      <c r="S6" s="42" t="s">
        <v>120</v>
      </c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</row>
    <row r="7" spans="1:39" ht="15" customHeight="1" x14ac:dyDescent="0.25">
      <c r="A7" s="20"/>
      <c r="B7" s="46" t="s">
        <v>205</v>
      </c>
      <c r="C7"/>
      <c r="D7"/>
      <c r="E7"/>
      <c r="F7" s="69" t="s">
        <v>18</v>
      </c>
      <c r="G7" s="72">
        <v>1208.9000000000001</v>
      </c>
      <c r="H7" s="70">
        <v>0</v>
      </c>
      <c r="I7" s="70">
        <v>0</v>
      </c>
      <c r="J7" s="70">
        <v>0</v>
      </c>
      <c r="K7" s="70">
        <v>1208.9000000000001</v>
      </c>
      <c r="L7" s="70">
        <v>0</v>
      </c>
      <c r="M7" s="70">
        <v>0</v>
      </c>
      <c r="N7" s="70">
        <v>0</v>
      </c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</row>
    <row r="8" spans="1:39" ht="15" customHeight="1" x14ac:dyDescent="0.25">
      <c r="A8" s="20"/>
      <c r="B8"/>
      <c r="C8"/>
      <c r="D8"/>
      <c r="E8"/>
      <c r="F8" s="69" t="s">
        <v>18</v>
      </c>
      <c r="G8" s="72">
        <v>1365</v>
      </c>
      <c r="H8" s="70">
        <v>0</v>
      </c>
      <c r="I8" s="70">
        <v>0</v>
      </c>
      <c r="J8" s="70">
        <v>0</v>
      </c>
      <c r="K8" s="70">
        <v>0</v>
      </c>
      <c r="L8" s="70">
        <v>1365</v>
      </c>
      <c r="M8" s="70">
        <v>0</v>
      </c>
      <c r="N8" s="70">
        <v>0</v>
      </c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</row>
    <row r="9" spans="1:39" ht="15" customHeight="1" x14ac:dyDescent="0.25">
      <c r="A9" s="20"/>
      <c r="B9"/>
      <c r="C9"/>
      <c r="D9"/>
      <c r="E9"/>
      <c r="F9" s="69" t="s">
        <v>18</v>
      </c>
      <c r="G9" s="72">
        <v>1004.26</v>
      </c>
      <c r="H9" s="70">
        <v>772.51</v>
      </c>
      <c r="I9" s="70">
        <v>0</v>
      </c>
      <c r="J9" s="70">
        <v>231.75</v>
      </c>
      <c r="K9" s="70">
        <v>0</v>
      </c>
      <c r="L9" s="70">
        <v>0</v>
      </c>
      <c r="M9" s="70">
        <v>0</v>
      </c>
      <c r="N9" s="70">
        <v>0</v>
      </c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</row>
    <row r="10" spans="1:39" ht="15" customHeight="1" x14ac:dyDescent="0.25">
      <c r="A10" s="20"/>
      <c r="B10"/>
      <c r="C10"/>
      <c r="D10"/>
      <c r="E10"/>
      <c r="F10" s="69" t="s">
        <v>18</v>
      </c>
      <c r="G10" s="72">
        <v>1000</v>
      </c>
      <c r="H10" s="70">
        <v>1000</v>
      </c>
      <c r="I10" s="70">
        <v>0</v>
      </c>
      <c r="J10" s="70">
        <v>0</v>
      </c>
      <c r="K10" s="70">
        <v>0</v>
      </c>
      <c r="L10" s="70">
        <v>0</v>
      </c>
      <c r="M10" s="70">
        <v>0</v>
      </c>
      <c r="N10" s="70">
        <v>0</v>
      </c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</row>
    <row r="11" spans="1:39" ht="15" customHeight="1" x14ac:dyDescent="0.25">
      <c r="A11" s="20"/>
      <c r="B11"/>
      <c r="C11"/>
      <c r="D11"/>
      <c r="E11"/>
      <c r="F11" s="69" t="s">
        <v>18</v>
      </c>
      <c r="G11" s="72">
        <v>200</v>
      </c>
      <c r="H11" s="70">
        <v>0</v>
      </c>
      <c r="I11" s="70">
        <v>0</v>
      </c>
      <c r="J11" s="70">
        <v>0</v>
      </c>
      <c r="K11" s="70">
        <v>0</v>
      </c>
      <c r="L11" s="70">
        <v>200</v>
      </c>
      <c r="M11" s="70">
        <v>0</v>
      </c>
      <c r="N11" s="7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</row>
    <row r="12" spans="1:39" ht="15" customHeight="1" x14ac:dyDescent="0.25">
      <c r="A12" s="20"/>
      <c r="B12"/>
      <c r="C12"/>
      <c r="D12"/>
      <c r="E12"/>
      <c r="F12" s="69" t="s">
        <v>18</v>
      </c>
      <c r="G12" s="72">
        <v>429.9</v>
      </c>
      <c r="H12" s="70">
        <v>0</v>
      </c>
      <c r="I12" s="70">
        <v>0</v>
      </c>
      <c r="J12" s="70">
        <v>0</v>
      </c>
      <c r="K12" s="70">
        <v>429.9</v>
      </c>
      <c r="L12" s="70">
        <v>0</v>
      </c>
      <c r="M12" s="70">
        <v>0</v>
      </c>
      <c r="N12" s="70">
        <v>0</v>
      </c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</row>
    <row r="13" spans="1:39" ht="15" customHeight="1" x14ac:dyDescent="0.25">
      <c r="A13" s="20"/>
      <c r="B13"/>
      <c r="C13"/>
      <c r="D13"/>
      <c r="E13"/>
      <c r="F13" s="69" t="s">
        <v>18</v>
      </c>
      <c r="G13" s="72">
        <v>750</v>
      </c>
      <c r="H13" s="70">
        <v>750</v>
      </c>
      <c r="I13" s="70">
        <v>0</v>
      </c>
      <c r="J13" s="70">
        <v>0</v>
      </c>
      <c r="K13" s="70">
        <v>0</v>
      </c>
      <c r="L13" s="70">
        <v>0</v>
      </c>
      <c r="M13" s="70">
        <v>0</v>
      </c>
      <c r="N13" s="70">
        <v>0</v>
      </c>
      <c r="S13" s="122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</row>
    <row r="14" spans="1:39" ht="15" customHeight="1" x14ac:dyDescent="0.25">
      <c r="A14" s="20"/>
      <c r="B14"/>
      <c r="C14"/>
      <c r="D14"/>
      <c r="E14"/>
      <c r="F14" s="69" t="s">
        <v>18</v>
      </c>
      <c r="G14" s="72">
        <v>150</v>
      </c>
      <c r="H14" s="70">
        <v>0</v>
      </c>
      <c r="I14" s="70">
        <v>0</v>
      </c>
      <c r="J14" s="70">
        <v>0</v>
      </c>
      <c r="K14" s="70">
        <v>0</v>
      </c>
      <c r="L14" s="70">
        <v>150</v>
      </c>
      <c r="M14" s="70">
        <v>0</v>
      </c>
      <c r="N14" s="70">
        <v>0</v>
      </c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</row>
    <row r="15" spans="1:39" ht="15" customHeight="1" x14ac:dyDescent="0.25">
      <c r="A15" s="20"/>
      <c r="B15"/>
      <c r="C15"/>
      <c r="D15"/>
      <c r="E15"/>
      <c r="F15" s="69" t="s">
        <v>18</v>
      </c>
      <c r="G15" s="72">
        <v>1790</v>
      </c>
      <c r="H15" s="70">
        <v>0</v>
      </c>
      <c r="I15" s="70">
        <v>0</v>
      </c>
      <c r="J15" s="70">
        <v>0</v>
      </c>
      <c r="K15" s="70">
        <v>0</v>
      </c>
      <c r="L15" s="70">
        <v>1790</v>
      </c>
      <c r="M15" s="70">
        <v>0</v>
      </c>
      <c r="N15" s="70">
        <v>0</v>
      </c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</row>
    <row r="16" spans="1:39" ht="15" customHeight="1" x14ac:dyDescent="0.25">
      <c r="A16" s="20"/>
      <c r="B16"/>
      <c r="C16"/>
      <c r="D16"/>
      <c r="E16"/>
      <c r="F16" s="69" t="s">
        <v>18</v>
      </c>
      <c r="G16" s="72">
        <v>450</v>
      </c>
      <c r="H16" s="70">
        <v>0</v>
      </c>
      <c r="I16" s="70">
        <v>0</v>
      </c>
      <c r="J16" s="70">
        <v>0</v>
      </c>
      <c r="K16" s="70">
        <v>0</v>
      </c>
      <c r="L16" s="70">
        <v>0</v>
      </c>
      <c r="M16" s="70">
        <v>450</v>
      </c>
      <c r="N16" s="70">
        <v>0</v>
      </c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</row>
    <row r="17" spans="1:39" ht="15" customHeight="1" x14ac:dyDescent="0.25">
      <c r="A17" s="20"/>
      <c r="B17"/>
      <c r="C17"/>
      <c r="D17"/>
      <c r="E17"/>
      <c r="F17" s="69" t="s">
        <v>18</v>
      </c>
      <c r="G17" s="72">
        <v>978.5</v>
      </c>
      <c r="H17" s="70">
        <v>0</v>
      </c>
      <c r="I17" s="70">
        <v>0</v>
      </c>
      <c r="J17" s="70">
        <v>0</v>
      </c>
      <c r="K17" s="70">
        <v>0</v>
      </c>
      <c r="L17" s="70">
        <v>0</v>
      </c>
      <c r="M17" s="70">
        <v>978.5</v>
      </c>
      <c r="N17" s="70">
        <v>0</v>
      </c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</row>
    <row r="18" spans="1:39" ht="15" customHeight="1" x14ac:dyDescent="0.25">
      <c r="A18" s="20"/>
      <c r="B18"/>
      <c r="C18"/>
      <c r="D18"/>
      <c r="E18"/>
      <c r="F18" s="69" t="s">
        <v>18</v>
      </c>
      <c r="G18" s="72">
        <v>795.68</v>
      </c>
      <c r="H18" s="70">
        <v>795.68</v>
      </c>
      <c r="I18" s="70">
        <v>0</v>
      </c>
      <c r="J18" s="70">
        <v>0</v>
      </c>
      <c r="K18" s="70">
        <v>0</v>
      </c>
      <c r="L18" s="70">
        <v>0</v>
      </c>
      <c r="M18" s="70">
        <v>0</v>
      </c>
      <c r="N18" s="70">
        <v>0</v>
      </c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</row>
    <row r="19" spans="1:39" ht="15" customHeight="1" x14ac:dyDescent="0.25">
      <c r="A19" s="20"/>
      <c r="B19"/>
      <c r="C19"/>
      <c r="D19"/>
      <c r="E19"/>
      <c r="F19" s="69" t="s">
        <v>18</v>
      </c>
      <c r="G19" s="72">
        <v>847.66</v>
      </c>
      <c r="H19" s="70">
        <v>0</v>
      </c>
      <c r="I19" s="70">
        <v>0</v>
      </c>
      <c r="J19" s="70">
        <v>0</v>
      </c>
      <c r="K19" s="70">
        <v>0</v>
      </c>
      <c r="L19" s="70">
        <v>0</v>
      </c>
      <c r="M19" s="70">
        <v>0</v>
      </c>
      <c r="N19" s="70">
        <v>847.66</v>
      </c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</row>
    <row r="20" spans="1:39" ht="15" customHeight="1" x14ac:dyDescent="0.25">
      <c r="A20" s="20"/>
      <c r="B20"/>
      <c r="C20"/>
      <c r="D20"/>
      <c r="E20"/>
      <c r="F20" s="69" t="s">
        <v>18</v>
      </c>
      <c r="G20" s="72">
        <v>1550</v>
      </c>
      <c r="H20" s="70">
        <v>1550</v>
      </c>
      <c r="I20" s="70">
        <v>0</v>
      </c>
      <c r="J20" s="70">
        <v>0</v>
      </c>
      <c r="K20" s="70">
        <v>0</v>
      </c>
      <c r="L20" s="70">
        <v>0</v>
      </c>
      <c r="M20" s="70">
        <v>0</v>
      </c>
      <c r="N20" s="70">
        <v>0</v>
      </c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</row>
    <row r="21" spans="1:39" ht="15" customHeight="1" x14ac:dyDescent="0.25">
      <c r="A21" s="20"/>
      <c r="B21"/>
      <c r="C21"/>
      <c r="D21"/>
      <c r="E21"/>
      <c r="F21" s="69" t="s">
        <v>18</v>
      </c>
      <c r="G21" s="72">
        <v>1819.02</v>
      </c>
      <c r="H21" s="70">
        <v>1819.02</v>
      </c>
      <c r="I21" s="70">
        <v>0</v>
      </c>
      <c r="J21" s="70">
        <v>0</v>
      </c>
      <c r="K21" s="70">
        <v>0</v>
      </c>
      <c r="L21" s="70">
        <v>0</v>
      </c>
      <c r="M21" s="70">
        <v>0</v>
      </c>
      <c r="N21" s="70">
        <v>0</v>
      </c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</row>
    <row r="22" spans="1:39" ht="15" customHeight="1" x14ac:dyDescent="0.25">
      <c r="A22" s="20"/>
      <c r="B22"/>
      <c r="C22"/>
      <c r="D22"/>
      <c r="E22"/>
      <c r="F22" s="69" t="s">
        <v>18</v>
      </c>
      <c r="G22" s="72">
        <v>895</v>
      </c>
      <c r="H22" s="70">
        <v>0</v>
      </c>
      <c r="I22" s="70">
        <v>0</v>
      </c>
      <c r="J22" s="70">
        <v>0</v>
      </c>
      <c r="K22" s="70">
        <v>0</v>
      </c>
      <c r="L22" s="70">
        <v>895</v>
      </c>
      <c r="M22" s="70">
        <v>0</v>
      </c>
      <c r="N22" s="70">
        <v>0</v>
      </c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</row>
    <row r="23" spans="1:39" ht="15" customHeight="1" x14ac:dyDescent="0.25">
      <c r="A23" s="20"/>
      <c r="B23"/>
      <c r="C23"/>
      <c r="D23"/>
      <c r="E23"/>
      <c r="F23" s="69" t="s">
        <v>18</v>
      </c>
      <c r="G23" s="72">
        <v>1699</v>
      </c>
      <c r="H23" s="70">
        <v>0</v>
      </c>
      <c r="I23" s="70">
        <v>0</v>
      </c>
      <c r="J23" s="70">
        <v>0</v>
      </c>
      <c r="K23" s="70">
        <v>0</v>
      </c>
      <c r="L23" s="70">
        <v>0</v>
      </c>
      <c r="M23" s="70">
        <v>900</v>
      </c>
      <c r="N23" s="70">
        <v>799</v>
      </c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</row>
    <row r="24" spans="1:39" ht="15" customHeight="1" x14ac:dyDescent="0.25">
      <c r="A24" s="20"/>
      <c r="B24"/>
      <c r="C24"/>
      <c r="D24"/>
      <c r="E24"/>
      <c r="F24" s="69" t="s">
        <v>18</v>
      </c>
      <c r="G24" s="72">
        <v>1999</v>
      </c>
      <c r="H24" s="70">
        <v>0</v>
      </c>
      <c r="I24" s="70">
        <v>0</v>
      </c>
      <c r="J24" s="70">
        <v>0</v>
      </c>
      <c r="K24" s="70">
        <v>0</v>
      </c>
      <c r="L24" s="70">
        <v>0</v>
      </c>
      <c r="M24" s="70">
        <v>900</v>
      </c>
      <c r="N24" s="70">
        <v>1099</v>
      </c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</row>
    <row r="25" spans="1:39" s="50" customFormat="1" ht="15" customHeight="1" x14ac:dyDescent="0.25">
      <c r="A25" s="49"/>
      <c r="B25"/>
      <c r="C25"/>
      <c r="D25"/>
      <c r="E25"/>
      <c r="F25" s="69" t="s">
        <v>18</v>
      </c>
      <c r="G25" s="72">
        <v>1699</v>
      </c>
      <c r="H25" s="70">
        <v>0</v>
      </c>
      <c r="I25" s="70">
        <v>0</v>
      </c>
      <c r="J25" s="70">
        <v>0</v>
      </c>
      <c r="K25" s="70">
        <v>0</v>
      </c>
      <c r="L25" s="70">
        <v>0</v>
      </c>
      <c r="M25" s="70">
        <v>900</v>
      </c>
      <c r="N25" s="70">
        <v>799</v>
      </c>
      <c r="O25"/>
      <c r="P25"/>
      <c r="Q25"/>
      <c r="R25"/>
      <c r="S25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49"/>
    </row>
    <row r="26" spans="1:39" ht="15" customHeight="1" x14ac:dyDescent="0.25">
      <c r="A26" s="20"/>
      <c r="B26"/>
      <c r="C26"/>
      <c r="D26"/>
      <c r="E26"/>
      <c r="F26" s="69" t="s">
        <v>18</v>
      </c>
      <c r="G26" s="72">
        <v>1495</v>
      </c>
      <c r="H26" s="70">
        <v>0</v>
      </c>
      <c r="I26" s="70">
        <v>0</v>
      </c>
      <c r="J26" s="70">
        <v>0</v>
      </c>
      <c r="K26" s="70">
        <v>0</v>
      </c>
      <c r="L26" s="70">
        <v>1495</v>
      </c>
      <c r="M26" s="70">
        <v>0</v>
      </c>
      <c r="N26" s="70">
        <v>0</v>
      </c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</row>
    <row r="27" spans="1:39" ht="15" customHeight="1" x14ac:dyDescent="0.25">
      <c r="A27" s="20"/>
      <c r="B27"/>
      <c r="C27"/>
      <c r="D27"/>
      <c r="E27"/>
      <c r="F27" s="69" t="s">
        <v>18</v>
      </c>
      <c r="G27" s="72">
        <v>350</v>
      </c>
      <c r="H27" s="70">
        <v>0</v>
      </c>
      <c r="I27" s="70">
        <v>0</v>
      </c>
      <c r="J27" s="70">
        <v>0</v>
      </c>
      <c r="K27" s="70">
        <v>0</v>
      </c>
      <c r="L27" s="70">
        <v>0</v>
      </c>
      <c r="M27" s="70">
        <v>350</v>
      </c>
      <c r="N27" s="70">
        <v>0</v>
      </c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</row>
    <row r="28" spans="1:39" ht="15" customHeight="1" x14ac:dyDescent="0.25">
      <c r="A28" s="20"/>
      <c r="B28"/>
      <c r="C28"/>
      <c r="D28"/>
      <c r="E28"/>
      <c r="F28" s="69" t="s">
        <v>18</v>
      </c>
      <c r="G28" s="72">
        <v>350</v>
      </c>
      <c r="H28" s="70">
        <v>0</v>
      </c>
      <c r="I28" s="70">
        <v>0</v>
      </c>
      <c r="J28" s="70">
        <v>0</v>
      </c>
      <c r="K28" s="70">
        <v>0</v>
      </c>
      <c r="L28" s="70">
        <v>0</v>
      </c>
      <c r="M28" s="70">
        <v>350</v>
      </c>
      <c r="N28" s="70">
        <v>0</v>
      </c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</row>
    <row r="29" spans="1:39" ht="15" customHeight="1" x14ac:dyDescent="0.25">
      <c r="A29" s="20"/>
      <c r="B29"/>
      <c r="C29"/>
      <c r="D29"/>
      <c r="E29"/>
      <c r="F29" s="69" t="s">
        <v>20</v>
      </c>
      <c r="G29" s="72">
        <v>25930</v>
      </c>
      <c r="H29" s="70">
        <v>0</v>
      </c>
      <c r="I29" s="70">
        <v>0</v>
      </c>
      <c r="J29" s="70">
        <v>0</v>
      </c>
      <c r="K29" s="70">
        <v>0</v>
      </c>
      <c r="L29" s="70">
        <v>0</v>
      </c>
      <c r="M29" s="70">
        <v>25930</v>
      </c>
      <c r="N29" s="70">
        <v>0</v>
      </c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</row>
    <row r="30" spans="1:39" ht="15" customHeight="1" x14ac:dyDescent="0.25">
      <c r="A30" s="20"/>
      <c r="B30"/>
      <c r="C30"/>
      <c r="D30"/>
      <c r="E30"/>
      <c r="F30" s="69" t="s">
        <v>20</v>
      </c>
      <c r="G30" s="72">
        <v>6218.12</v>
      </c>
      <c r="H30" s="70">
        <v>6218.12</v>
      </c>
      <c r="I30" s="70">
        <v>0</v>
      </c>
      <c r="J30" s="70">
        <v>0</v>
      </c>
      <c r="K30" s="70">
        <v>0</v>
      </c>
      <c r="L30" s="70">
        <v>0</v>
      </c>
      <c r="M30" s="70">
        <v>0</v>
      </c>
      <c r="N30" s="70">
        <v>0</v>
      </c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</row>
    <row r="31" spans="1:39" ht="15" customHeight="1" x14ac:dyDescent="0.25">
      <c r="A31" s="20"/>
      <c r="B31"/>
      <c r="C31"/>
      <c r="D31"/>
      <c r="E31"/>
      <c r="F31" s="69" t="s">
        <v>20</v>
      </c>
      <c r="G31" s="72">
        <v>3185.77</v>
      </c>
      <c r="H31" s="70">
        <v>1698.46</v>
      </c>
      <c r="I31" s="70">
        <v>616.96</v>
      </c>
      <c r="J31" s="70">
        <v>0</v>
      </c>
      <c r="K31" s="70">
        <v>0</v>
      </c>
      <c r="L31" s="70">
        <v>870.35</v>
      </c>
      <c r="M31" s="70">
        <v>0</v>
      </c>
      <c r="N31" s="70">
        <v>0</v>
      </c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</row>
    <row r="32" spans="1:39" ht="15" customHeight="1" x14ac:dyDescent="0.25">
      <c r="A32" s="20"/>
      <c r="B32"/>
      <c r="C32"/>
      <c r="D32"/>
      <c r="E32"/>
      <c r="F32" s="69" t="s">
        <v>20</v>
      </c>
      <c r="G32" s="72">
        <v>3244.49</v>
      </c>
      <c r="H32" s="70">
        <v>1699.5</v>
      </c>
      <c r="I32" s="70">
        <v>669.49</v>
      </c>
      <c r="J32" s="70">
        <v>0</v>
      </c>
      <c r="K32" s="70">
        <v>0</v>
      </c>
      <c r="L32" s="70">
        <v>0</v>
      </c>
      <c r="M32" s="70">
        <v>0</v>
      </c>
      <c r="N32" s="70">
        <v>875.5</v>
      </c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</row>
    <row r="33" spans="1:39" s="50" customFormat="1" ht="15" customHeight="1" x14ac:dyDescent="0.25">
      <c r="A33" s="49"/>
      <c r="B33"/>
      <c r="C33"/>
      <c r="D33"/>
      <c r="E33"/>
      <c r="F33" s="69" t="s">
        <v>20</v>
      </c>
      <c r="G33" s="72">
        <v>3150</v>
      </c>
      <c r="H33" s="70">
        <v>2300</v>
      </c>
      <c r="I33" s="70">
        <v>0</v>
      </c>
      <c r="J33" s="70">
        <v>0</v>
      </c>
      <c r="K33" s="70">
        <v>0</v>
      </c>
      <c r="L33" s="70">
        <v>0</v>
      </c>
      <c r="M33" s="70">
        <v>0</v>
      </c>
      <c r="N33" s="70">
        <v>850</v>
      </c>
      <c r="O33"/>
      <c r="P33"/>
      <c r="Q33"/>
      <c r="R33"/>
      <c r="S33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  <c r="AL33" s="49"/>
      <c r="AM33" s="49"/>
    </row>
    <row r="34" spans="1:39" ht="15" customHeight="1" x14ac:dyDescent="0.25">
      <c r="A34" s="20"/>
      <c r="B34"/>
      <c r="C34"/>
      <c r="D34"/>
      <c r="E34"/>
      <c r="F34" s="69" t="s">
        <v>20</v>
      </c>
      <c r="G34" s="72">
        <v>3244.49</v>
      </c>
      <c r="H34" s="70">
        <v>1699.5</v>
      </c>
      <c r="I34" s="70">
        <v>669.49</v>
      </c>
      <c r="J34" s="70">
        <v>0</v>
      </c>
      <c r="K34" s="70">
        <v>0</v>
      </c>
      <c r="L34" s="70">
        <v>0</v>
      </c>
      <c r="M34" s="70">
        <v>0</v>
      </c>
      <c r="N34" s="70">
        <v>875.5</v>
      </c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</row>
    <row r="35" spans="1:39" ht="15" customHeight="1" x14ac:dyDescent="0.25">
      <c r="A35" s="20"/>
      <c r="B35"/>
      <c r="C35"/>
      <c r="D35"/>
      <c r="E35"/>
      <c r="F35" s="69" t="s">
        <v>20</v>
      </c>
      <c r="G35" s="72">
        <v>4039.65</v>
      </c>
      <c r="H35" s="70">
        <v>3164.15</v>
      </c>
      <c r="I35" s="70">
        <v>0</v>
      </c>
      <c r="J35" s="70">
        <v>0</v>
      </c>
      <c r="K35" s="70">
        <v>0</v>
      </c>
      <c r="L35" s="70">
        <v>0</v>
      </c>
      <c r="M35" s="70">
        <v>0</v>
      </c>
      <c r="N35" s="70">
        <v>875.5</v>
      </c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</row>
    <row r="36" spans="1:39" ht="15" customHeight="1" x14ac:dyDescent="0.25">
      <c r="A36" s="20"/>
      <c r="B36"/>
      <c r="C36"/>
      <c r="D36"/>
      <c r="E36"/>
      <c r="F36" s="69" t="s">
        <v>20</v>
      </c>
      <c r="G36" s="72">
        <v>4681.3500000000004</v>
      </c>
      <c r="H36" s="70">
        <v>2369.0100000000002</v>
      </c>
      <c r="I36" s="70">
        <v>669.49</v>
      </c>
      <c r="J36" s="70">
        <v>0</v>
      </c>
      <c r="K36" s="70">
        <v>0</v>
      </c>
      <c r="L36" s="70">
        <v>767.35</v>
      </c>
      <c r="M36" s="70">
        <v>0</v>
      </c>
      <c r="N36" s="70">
        <v>875.5</v>
      </c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</row>
    <row r="37" spans="1:39" ht="15" customHeight="1" x14ac:dyDescent="0.25">
      <c r="A37" s="20"/>
      <c r="B37"/>
      <c r="C37"/>
      <c r="D37"/>
      <c r="E37"/>
      <c r="F37" s="69" t="s">
        <v>20</v>
      </c>
      <c r="G37" s="72">
        <v>2163</v>
      </c>
      <c r="H37" s="70">
        <v>1287.5</v>
      </c>
      <c r="I37" s="70">
        <v>0</v>
      </c>
      <c r="J37" s="70">
        <v>0</v>
      </c>
      <c r="K37" s="70">
        <v>0</v>
      </c>
      <c r="L37" s="70">
        <v>0</v>
      </c>
      <c r="M37" s="70">
        <v>0</v>
      </c>
      <c r="N37" s="70">
        <v>875.5</v>
      </c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</row>
    <row r="38" spans="1:39" ht="15" customHeight="1" x14ac:dyDescent="0.25">
      <c r="A38" s="20"/>
      <c r="B38"/>
      <c r="C38"/>
      <c r="D38"/>
      <c r="E38"/>
      <c r="F38" s="69" t="s">
        <v>20</v>
      </c>
      <c r="G38" s="72">
        <v>3244.49</v>
      </c>
      <c r="H38" s="70">
        <v>1699.5</v>
      </c>
      <c r="I38" s="70">
        <v>669.49</v>
      </c>
      <c r="J38" s="70">
        <v>0</v>
      </c>
      <c r="K38" s="70">
        <v>0</v>
      </c>
      <c r="L38" s="70">
        <v>0</v>
      </c>
      <c r="M38" s="70">
        <v>0</v>
      </c>
      <c r="N38" s="70">
        <v>875.5</v>
      </c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</row>
    <row r="39" spans="1:39" ht="15" customHeight="1" x14ac:dyDescent="0.25">
      <c r="A39" s="20"/>
      <c r="B39"/>
      <c r="C39"/>
      <c r="D39"/>
      <c r="E39"/>
      <c r="F39" s="69" t="s">
        <v>20</v>
      </c>
      <c r="G39" s="72">
        <v>3288.77</v>
      </c>
      <c r="H39" s="70">
        <v>1698.46</v>
      </c>
      <c r="I39" s="70">
        <v>616.96</v>
      </c>
      <c r="J39" s="70">
        <v>0</v>
      </c>
      <c r="K39" s="70">
        <v>0</v>
      </c>
      <c r="L39" s="70">
        <v>973.35</v>
      </c>
      <c r="M39" s="70">
        <v>0</v>
      </c>
      <c r="N39" s="70">
        <v>0</v>
      </c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</row>
    <row r="40" spans="1:39" ht="15" customHeight="1" x14ac:dyDescent="0.25">
      <c r="A40" s="20"/>
      <c r="B40"/>
      <c r="C40"/>
      <c r="D40"/>
      <c r="E40"/>
      <c r="F40" s="69" t="s">
        <v>20</v>
      </c>
      <c r="G40" s="72">
        <v>977.47</v>
      </c>
      <c r="H40" s="70">
        <v>0</v>
      </c>
      <c r="I40" s="70">
        <v>0</v>
      </c>
      <c r="J40" s="70">
        <v>0</v>
      </c>
      <c r="K40" s="70">
        <v>0</v>
      </c>
      <c r="L40" s="70">
        <v>0</v>
      </c>
      <c r="M40" s="70">
        <v>977.47</v>
      </c>
      <c r="N40" s="70">
        <v>0</v>
      </c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</row>
    <row r="41" spans="1:39" ht="15" customHeight="1" x14ac:dyDescent="0.25">
      <c r="A41" s="20"/>
      <c r="B41"/>
      <c r="C41"/>
      <c r="D41"/>
      <c r="E41"/>
      <c r="F41" s="69" t="s">
        <v>20</v>
      </c>
      <c r="G41" s="72">
        <v>7938</v>
      </c>
      <c r="H41" s="70">
        <v>4682.8599999999997</v>
      </c>
      <c r="I41" s="70">
        <v>599</v>
      </c>
      <c r="J41" s="70">
        <v>558.14</v>
      </c>
      <c r="K41" s="70">
        <v>0</v>
      </c>
      <c r="L41" s="70">
        <v>1399</v>
      </c>
      <c r="M41" s="70">
        <v>0</v>
      </c>
      <c r="N41" s="70">
        <v>699</v>
      </c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</row>
    <row r="42" spans="1:39" ht="15" customHeight="1" x14ac:dyDescent="0.25">
      <c r="A42" s="20"/>
      <c r="B42"/>
      <c r="C42"/>
      <c r="D42"/>
      <c r="E42"/>
      <c r="F42" s="69" t="s">
        <v>20</v>
      </c>
      <c r="G42" s="72">
        <v>2255</v>
      </c>
      <c r="H42" s="70">
        <v>2255</v>
      </c>
      <c r="I42" s="70">
        <v>0</v>
      </c>
      <c r="J42" s="70">
        <v>0</v>
      </c>
      <c r="K42" s="70">
        <v>0</v>
      </c>
      <c r="L42" s="70">
        <v>0</v>
      </c>
      <c r="M42" s="70">
        <v>0</v>
      </c>
      <c r="N42" s="70">
        <v>0</v>
      </c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</row>
    <row r="43" spans="1:39" ht="15" customHeight="1" x14ac:dyDescent="0.25">
      <c r="A43" s="20"/>
      <c r="B43"/>
      <c r="C43"/>
      <c r="D43"/>
      <c r="E43"/>
      <c r="F43" s="69" t="s">
        <v>20</v>
      </c>
      <c r="G43" s="72">
        <v>2793.1</v>
      </c>
      <c r="H43" s="70">
        <v>2793.1</v>
      </c>
      <c r="I43" s="70">
        <v>0</v>
      </c>
      <c r="J43" s="70">
        <v>0</v>
      </c>
      <c r="K43" s="70">
        <v>0</v>
      </c>
      <c r="L43" s="70">
        <v>0</v>
      </c>
      <c r="M43" s="70">
        <v>0</v>
      </c>
      <c r="N43" s="70">
        <v>0</v>
      </c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</row>
    <row r="44" spans="1:39" ht="15" customHeight="1" x14ac:dyDescent="0.25">
      <c r="A44" s="20"/>
      <c r="B44"/>
      <c r="C44"/>
      <c r="D44"/>
      <c r="E44"/>
      <c r="F44" s="69" t="s">
        <v>20</v>
      </c>
      <c r="G44" s="72">
        <v>0</v>
      </c>
      <c r="H44" s="70">
        <v>0</v>
      </c>
      <c r="I44" s="70">
        <v>0</v>
      </c>
      <c r="J44" s="70">
        <v>0</v>
      </c>
      <c r="K44" s="70">
        <v>0</v>
      </c>
      <c r="L44" s="70">
        <v>0</v>
      </c>
      <c r="M44" s="70">
        <v>0</v>
      </c>
      <c r="N44" s="70">
        <v>0</v>
      </c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</row>
    <row r="45" spans="1:39" ht="15" customHeight="1" x14ac:dyDescent="0.25">
      <c r="A45" s="20"/>
      <c r="B45"/>
      <c r="C45"/>
      <c r="D45"/>
      <c r="E45"/>
      <c r="F45" s="69" t="s">
        <v>20</v>
      </c>
      <c r="G45" s="72">
        <v>2605.6999999999998</v>
      </c>
      <c r="H45" s="70">
        <v>2305.6999999999998</v>
      </c>
      <c r="I45" s="70">
        <v>300</v>
      </c>
      <c r="J45" s="70">
        <v>0</v>
      </c>
      <c r="K45" s="70">
        <v>0</v>
      </c>
      <c r="L45" s="70">
        <v>0</v>
      </c>
      <c r="M45" s="70">
        <v>0</v>
      </c>
      <c r="N45" s="70">
        <v>0</v>
      </c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</row>
    <row r="46" spans="1:39" ht="15" customHeight="1" x14ac:dyDescent="0.25">
      <c r="A46" s="20"/>
      <c r="B46"/>
      <c r="C46"/>
      <c r="D46"/>
      <c r="E46"/>
      <c r="F46" s="69" t="s">
        <v>20</v>
      </c>
      <c r="G46" s="72">
        <v>7709</v>
      </c>
      <c r="H46" s="70">
        <v>5784</v>
      </c>
      <c r="I46" s="70">
        <v>0</v>
      </c>
      <c r="J46" s="70">
        <v>225</v>
      </c>
      <c r="K46" s="70">
        <v>0</v>
      </c>
      <c r="L46" s="70">
        <v>0</v>
      </c>
      <c r="M46" s="70">
        <v>0</v>
      </c>
      <c r="N46" s="70">
        <v>1700</v>
      </c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</row>
    <row r="47" spans="1:39" ht="15" customHeight="1" x14ac:dyDescent="0.25">
      <c r="A47" s="20"/>
      <c r="B47"/>
      <c r="C47"/>
      <c r="D47"/>
      <c r="E47"/>
      <c r="F47" s="69" t="s">
        <v>20</v>
      </c>
      <c r="G47" s="72">
        <v>8578</v>
      </c>
      <c r="H47" s="70">
        <v>1800</v>
      </c>
      <c r="I47" s="70">
        <v>520</v>
      </c>
      <c r="J47" s="70">
        <v>0</v>
      </c>
      <c r="K47" s="70">
        <v>0</v>
      </c>
      <c r="L47" s="70">
        <v>0</v>
      </c>
      <c r="M47" s="70">
        <v>6258</v>
      </c>
      <c r="N47" s="70">
        <v>0</v>
      </c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</row>
    <row r="48" spans="1:39" ht="15" customHeight="1" x14ac:dyDescent="0.25">
      <c r="A48" s="20"/>
      <c r="B48"/>
      <c r="C48"/>
      <c r="D48"/>
      <c r="E48"/>
      <c r="F48" s="69" t="s">
        <v>20</v>
      </c>
      <c r="G48" s="72">
        <v>5483.72</v>
      </c>
      <c r="H48" s="70">
        <v>3332.05</v>
      </c>
      <c r="I48" s="70">
        <v>607.70000000000005</v>
      </c>
      <c r="J48" s="70">
        <v>618</v>
      </c>
      <c r="K48" s="70">
        <v>0</v>
      </c>
      <c r="L48" s="70">
        <v>0</v>
      </c>
      <c r="M48" s="70">
        <v>0</v>
      </c>
      <c r="N48" s="70">
        <v>925.97</v>
      </c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</row>
    <row r="49" spans="1:39" ht="15" customHeight="1" x14ac:dyDescent="0.25">
      <c r="A49" s="20"/>
      <c r="B49"/>
      <c r="C49"/>
      <c r="D49"/>
      <c r="E49"/>
      <c r="F49" s="69" t="s">
        <v>20</v>
      </c>
      <c r="G49" s="72">
        <v>3513.6</v>
      </c>
      <c r="H49" s="70">
        <v>3513.6</v>
      </c>
      <c r="I49" s="70">
        <v>0</v>
      </c>
      <c r="J49" s="70">
        <v>0</v>
      </c>
      <c r="K49" s="70">
        <v>0</v>
      </c>
      <c r="L49" s="70">
        <v>0</v>
      </c>
      <c r="M49" s="70">
        <v>0</v>
      </c>
      <c r="N49" s="70">
        <v>0</v>
      </c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</row>
    <row r="50" spans="1:39" ht="15" customHeight="1" x14ac:dyDescent="0.25">
      <c r="A50" s="20"/>
      <c r="B50"/>
      <c r="C50"/>
      <c r="D50"/>
      <c r="E50"/>
      <c r="F50" s="69" t="s">
        <v>20</v>
      </c>
      <c r="G50" s="72">
        <v>3027.93</v>
      </c>
      <c r="H50" s="70">
        <v>1650</v>
      </c>
      <c r="I50" s="70">
        <v>527.92999999999995</v>
      </c>
      <c r="J50" s="70">
        <v>0</v>
      </c>
      <c r="K50" s="70">
        <v>0</v>
      </c>
      <c r="L50" s="70">
        <v>0</v>
      </c>
      <c r="M50" s="70">
        <v>0</v>
      </c>
      <c r="N50" s="70">
        <v>850</v>
      </c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</row>
    <row r="51" spans="1:39" s="50" customFormat="1" ht="15" customHeight="1" x14ac:dyDescent="0.25">
      <c r="A51" s="49"/>
      <c r="B51"/>
      <c r="C51"/>
      <c r="D51"/>
      <c r="E51"/>
      <c r="F51" s="69" t="s">
        <v>20</v>
      </c>
      <c r="G51" s="72">
        <v>3244.49</v>
      </c>
      <c r="H51" s="70">
        <v>1699.5</v>
      </c>
      <c r="I51" s="70">
        <v>669.49</v>
      </c>
      <c r="J51" s="70">
        <v>0</v>
      </c>
      <c r="K51" s="70">
        <v>0</v>
      </c>
      <c r="L51" s="70">
        <v>0</v>
      </c>
      <c r="M51" s="70">
        <v>0</v>
      </c>
      <c r="N51" s="70">
        <v>875.5</v>
      </c>
      <c r="O51"/>
      <c r="P51"/>
      <c r="Q51"/>
      <c r="R51"/>
      <c r="S51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</row>
    <row r="52" spans="1:39" ht="15" customHeight="1" x14ac:dyDescent="0.25">
      <c r="A52" s="20"/>
      <c r="B52"/>
      <c r="C52"/>
      <c r="D52"/>
      <c r="E52"/>
      <c r="F52" s="69" t="s">
        <v>20</v>
      </c>
      <c r="G52" s="72">
        <v>0</v>
      </c>
      <c r="H52" s="70">
        <v>0</v>
      </c>
      <c r="I52" s="70">
        <v>0</v>
      </c>
      <c r="J52" s="70">
        <v>0</v>
      </c>
      <c r="K52" s="70">
        <v>0</v>
      </c>
      <c r="L52" s="70">
        <v>0</v>
      </c>
      <c r="M52" s="70">
        <v>0</v>
      </c>
      <c r="N52" s="70">
        <v>0</v>
      </c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</row>
    <row r="53" spans="1:39" ht="15" customHeight="1" x14ac:dyDescent="0.25">
      <c r="A53" s="20"/>
      <c r="B53"/>
      <c r="C53"/>
      <c r="D53"/>
      <c r="E53"/>
      <c r="F53" s="69" t="s">
        <v>20</v>
      </c>
      <c r="G53" s="72">
        <v>4281.92</v>
      </c>
      <c r="H53" s="70">
        <v>2130.25</v>
      </c>
      <c r="I53" s="70">
        <v>607.70000000000005</v>
      </c>
      <c r="J53" s="70">
        <v>618</v>
      </c>
      <c r="K53" s="70">
        <v>0</v>
      </c>
      <c r="L53" s="70">
        <v>0</v>
      </c>
      <c r="M53" s="70">
        <v>0</v>
      </c>
      <c r="N53" s="70">
        <v>925.97</v>
      </c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</row>
    <row r="54" spans="1:39" ht="15" customHeight="1" x14ac:dyDescent="0.25">
      <c r="A54" s="20"/>
      <c r="B54"/>
      <c r="C54"/>
      <c r="D54"/>
      <c r="E54"/>
      <c r="F54" s="69" t="s">
        <v>20</v>
      </c>
      <c r="G54" s="72">
        <v>909.3</v>
      </c>
      <c r="H54" s="70">
        <v>0</v>
      </c>
      <c r="I54" s="70">
        <v>0</v>
      </c>
      <c r="J54" s="70">
        <v>0</v>
      </c>
      <c r="K54" s="70">
        <v>0</v>
      </c>
      <c r="L54" s="70">
        <v>559.29999999999995</v>
      </c>
      <c r="M54" s="70">
        <v>350</v>
      </c>
      <c r="N54" s="70">
        <v>0</v>
      </c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</row>
    <row r="55" spans="1:39" ht="15" customHeight="1" x14ac:dyDescent="0.25">
      <c r="A55" s="20"/>
      <c r="B55"/>
      <c r="C55"/>
      <c r="D55"/>
      <c r="E55"/>
      <c r="F55" s="69" t="s">
        <v>20</v>
      </c>
      <c r="G55" s="72">
        <v>3185.77</v>
      </c>
      <c r="H55" s="70">
        <v>1698.46</v>
      </c>
      <c r="I55" s="70">
        <v>616.96</v>
      </c>
      <c r="J55" s="70">
        <v>0</v>
      </c>
      <c r="K55" s="70">
        <v>0</v>
      </c>
      <c r="L55" s="70">
        <v>870.35</v>
      </c>
      <c r="M55" s="70">
        <v>0</v>
      </c>
      <c r="N55" s="70">
        <v>0</v>
      </c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</row>
    <row r="56" spans="1:39" ht="15" customHeight="1" x14ac:dyDescent="0.25">
      <c r="A56" s="20"/>
      <c r="B56"/>
      <c r="C56"/>
      <c r="D56"/>
      <c r="E56"/>
      <c r="F56" s="69" t="s">
        <v>20</v>
      </c>
      <c r="G56" s="72">
        <v>2522.46</v>
      </c>
      <c r="H56" s="70">
        <v>1287.5</v>
      </c>
      <c r="I56" s="70">
        <v>616.96</v>
      </c>
      <c r="J56" s="70">
        <v>0</v>
      </c>
      <c r="K56" s="70">
        <v>0</v>
      </c>
      <c r="L56" s="70">
        <v>618</v>
      </c>
      <c r="M56" s="70">
        <v>0</v>
      </c>
      <c r="N56" s="70">
        <v>0</v>
      </c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</row>
    <row r="57" spans="1:39" ht="15" customHeight="1" x14ac:dyDescent="0.25">
      <c r="A57" s="20"/>
      <c r="B57"/>
      <c r="C57"/>
      <c r="D57"/>
      <c r="E57"/>
      <c r="F57" s="69" t="s">
        <v>20</v>
      </c>
      <c r="G57" s="72">
        <v>13200.96</v>
      </c>
      <c r="H57" s="70">
        <v>7198.28</v>
      </c>
      <c r="I57" s="70">
        <v>2251.71</v>
      </c>
      <c r="J57" s="70">
        <v>324.52999999999997</v>
      </c>
      <c r="K57" s="70">
        <v>0</v>
      </c>
      <c r="L57" s="70">
        <v>0</v>
      </c>
      <c r="M57" s="70">
        <v>0</v>
      </c>
      <c r="N57" s="70">
        <v>3426.44</v>
      </c>
      <c r="O57" t="s">
        <v>91</v>
      </c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</row>
    <row r="58" spans="1:39" ht="15" customHeight="1" x14ac:dyDescent="0.25">
      <c r="A58" s="20"/>
      <c r="B58"/>
      <c r="C58"/>
      <c r="D58"/>
      <c r="E58"/>
      <c r="F58" s="69" t="s">
        <v>20</v>
      </c>
      <c r="G58" s="72">
        <v>0</v>
      </c>
      <c r="H58" s="70">
        <v>0</v>
      </c>
      <c r="I58" s="70">
        <v>0</v>
      </c>
      <c r="J58" s="70">
        <v>0</v>
      </c>
      <c r="K58" s="70">
        <v>0</v>
      </c>
      <c r="L58" s="70">
        <v>0</v>
      </c>
      <c r="M58" s="70">
        <v>0</v>
      </c>
      <c r="N58" s="70">
        <v>0</v>
      </c>
      <c r="O58" s="50" t="s">
        <v>132</v>
      </c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</row>
    <row r="59" spans="1:39" ht="15" customHeight="1" x14ac:dyDescent="0.25">
      <c r="A59" s="20"/>
      <c r="B59"/>
      <c r="C59"/>
      <c r="D59"/>
      <c r="E59"/>
      <c r="F59" s="69" t="s">
        <v>20</v>
      </c>
      <c r="G59" s="72">
        <v>3805.85</v>
      </c>
      <c r="H59" s="70">
        <v>1699.5</v>
      </c>
      <c r="I59" s="70">
        <v>669.5</v>
      </c>
      <c r="J59" s="70">
        <v>0</v>
      </c>
      <c r="K59" s="70">
        <v>0</v>
      </c>
      <c r="L59" s="70">
        <v>1436.85</v>
      </c>
      <c r="M59" s="70">
        <v>0</v>
      </c>
      <c r="N59" s="70">
        <v>0</v>
      </c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</row>
    <row r="60" spans="1:39" ht="15" customHeight="1" x14ac:dyDescent="0.25">
      <c r="A60" s="20"/>
      <c r="B60"/>
      <c r="C60"/>
      <c r="D60"/>
      <c r="E60"/>
      <c r="F60" s="69" t="s">
        <v>20</v>
      </c>
      <c r="G60" s="72">
        <v>3754.35</v>
      </c>
      <c r="H60" s="70">
        <v>1699.5</v>
      </c>
      <c r="I60" s="70">
        <v>669.5</v>
      </c>
      <c r="J60" s="70">
        <v>0</v>
      </c>
      <c r="K60" s="70">
        <v>0</v>
      </c>
      <c r="L60" s="70">
        <v>1385.35</v>
      </c>
      <c r="M60" s="70">
        <v>0</v>
      </c>
      <c r="N60" s="70">
        <v>0</v>
      </c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</row>
    <row r="61" spans="1:39" ht="15" customHeight="1" x14ac:dyDescent="0.25">
      <c r="A61" s="20"/>
      <c r="B61"/>
      <c r="C61"/>
      <c r="D61"/>
      <c r="E61"/>
      <c r="F61" s="69" t="s">
        <v>20</v>
      </c>
      <c r="G61" s="72">
        <v>4885.29</v>
      </c>
      <c r="H61" s="70">
        <v>1699.5</v>
      </c>
      <c r="I61" s="70">
        <v>669.5</v>
      </c>
      <c r="J61" s="70">
        <v>0</v>
      </c>
      <c r="K61" s="70">
        <v>0</v>
      </c>
      <c r="L61" s="70">
        <v>1385.35</v>
      </c>
      <c r="M61" s="70">
        <v>1130.94</v>
      </c>
      <c r="N61" s="70">
        <v>0</v>
      </c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</row>
    <row r="62" spans="1:39" s="50" customFormat="1" ht="15" customHeight="1" x14ac:dyDescent="0.25">
      <c r="A62" s="49"/>
      <c r="B62"/>
      <c r="C62"/>
      <c r="D62"/>
      <c r="E62"/>
      <c r="F62" s="69" t="s">
        <v>19</v>
      </c>
      <c r="G62" s="72">
        <v>0</v>
      </c>
      <c r="H62" s="70">
        <v>0</v>
      </c>
      <c r="I62" s="70">
        <v>0</v>
      </c>
      <c r="J62" s="70">
        <v>0</v>
      </c>
      <c r="K62" s="70">
        <v>0</v>
      </c>
      <c r="L62" s="70">
        <v>0</v>
      </c>
      <c r="M62" s="70">
        <v>0</v>
      </c>
      <c r="N62" s="70">
        <v>0</v>
      </c>
      <c r="O62"/>
      <c r="P62"/>
      <c r="Q62"/>
      <c r="R62"/>
      <c r="S62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9"/>
      <c r="AM62" s="49"/>
    </row>
    <row r="63" spans="1:39" ht="15" customHeight="1" x14ac:dyDescent="0.25">
      <c r="A63" s="20"/>
      <c r="B63"/>
      <c r="C63"/>
      <c r="D63"/>
      <c r="E63"/>
      <c r="F63" s="69" t="s">
        <v>19</v>
      </c>
      <c r="G63" s="72">
        <v>0</v>
      </c>
      <c r="H63" s="70">
        <v>0</v>
      </c>
      <c r="I63" s="70">
        <v>0</v>
      </c>
      <c r="J63" s="70">
        <v>0</v>
      </c>
      <c r="K63" s="70">
        <v>0</v>
      </c>
      <c r="L63" s="70">
        <v>0</v>
      </c>
      <c r="M63" s="70">
        <v>0</v>
      </c>
      <c r="N63" s="70">
        <v>0</v>
      </c>
      <c r="O63" s="50" t="s">
        <v>136</v>
      </c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</row>
    <row r="64" spans="1:39" ht="15" customHeight="1" x14ac:dyDescent="0.25">
      <c r="A64" s="20"/>
      <c r="B64"/>
      <c r="C64"/>
      <c r="D64"/>
      <c r="E64"/>
      <c r="F64" s="69" t="s">
        <v>19</v>
      </c>
      <c r="G64" s="72">
        <v>2671</v>
      </c>
      <c r="H64" s="70">
        <v>1626</v>
      </c>
      <c r="I64" s="70">
        <v>850</v>
      </c>
      <c r="J64" s="70">
        <v>0</v>
      </c>
      <c r="K64" s="70">
        <v>0</v>
      </c>
      <c r="L64" s="70">
        <v>0</v>
      </c>
      <c r="M64" s="70">
        <v>0</v>
      </c>
      <c r="N64" s="70">
        <v>195</v>
      </c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</row>
    <row r="65" spans="1:39" ht="15" customHeight="1" x14ac:dyDescent="0.25">
      <c r="A65" s="20"/>
      <c r="B65"/>
      <c r="C65"/>
      <c r="D65"/>
      <c r="E65"/>
      <c r="F65" s="69" t="s">
        <v>19</v>
      </c>
      <c r="G65" s="72">
        <v>0</v>
      </c>
      <c r="H65" s="70">
        <v>0</v>
      </c>
      <c r="I65" s="70">
        <v>0</v>
      </c>
      <c r="J65" s="70">
        <v>0</v>
      </c>
      <c r="K65" s="70">
        <v>0</v>
      </c>
      <c r="L65" s="70">
        <v>0</v>
      </c>
      <c r="M65" s="70">
        <v>0</v>
      </c>
      <c r="N65" s="70">
        <v>0</v>
      </c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</row>
    <row r="66" spans="1:39" ht="15" customHeight="1" x14ac:dyDescent="0.25">
      <c r="A66" s="20"/>
      <c r="B66"/>
      <c r="C66"/>
      <c r="D66"/>
      <c r="E66"/>
      <c r="F66" s="69" t="s">
        <v>19</v>
      </c>
      <c r="G66" s="72">
        <v>3079</v>
      </c>
      <c r="H66" s="70">
        <v>2280</v>
      </c>
      <c r="I66" s="70">
        <v>0</v>
      </c>
      <c r="J66" s="70">
        <v>0</v>
      </c>
      <c r="K66" s="70">
        <v>0</v>
      </c>
      <c r="L66" s="70">
        <v>0</v>
      </c>
      <c r="M66" s="70">
        <v>0</v>
      </c>
      <c r="N66" s="70">
        <v>799</v>
      </c>
      <c r="O66" s="50" t="s">
        <v>135</v>
      </c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</row>
    <row r="67" spans="1:39" ht="15" customHeight="1" x14ac:dyDescent="0.25">
      <c r="A67" s="20"/>
      <c r="B67"/>
      <c r="C67"/>
      <c r="D67"/>
      <c r="E67"/>
      <c r="F67" s="69" t="s">
        <v>19</v>
      </c>
      <c r="G67" s="72">
        <v>5766.8</v>
      </c>
      <c r="H67" s="70">
        <v>4582.3</v>
      </c>
      <c r="I67" s="70">
        <v>1184.5</v>
      </c>
      <c r="J67" s="70">
        <v>0</v>
      </c>
      <c r="K67" s="70">
        <v>0</v>
      </c>
      <c r="L67" s="70">
        <v>0</v>
      </c>
      <c r="M67" s="70">
        <v>0</v>
      </c>
      <c r="N67" s="70">
        <v>0</v>
      </c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20"/>
      <c r="AM67" s="20"/>
    </row>
    <row r="68" spans="1:39" ht="15" customHeight="1" x14ac:dyDescent="0.25">
      <c r="A68" s="20"/>
      <c r="B68"/>
      <c r="C68"/>
      <c r="D68"/>
      <c r="E68"/>
      <c r="F68" s="69" t="s">
        <v>19</v>
      </c>
      <c r="G68" s="72">
        <v>2200</v>
      </c>
      <c r="H68" s="70">
        <v>2200</v>
      </c>
      <c r="I68" s="70">
        <v>0</v>
      </c>
      <c r="J68" s="70">
        <v>0</v>
      </c>
      <c r="K68" s="70">
        <v>0</v>
      </c>
      <c r="L68" s="70">
        <v>0</v>
      </c>
      <c r="M68" s="70">
        <v>0</v>
      </c>
      <c r="N68" s="70">
        <v>0</v>
      </c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20"/>
      <c r="AM68" s="20"/>
    </row>
    <row r="69" spans="1:39" ht="15" customHeight="1" x14ac:dyDescent="0.25">
      <c r="A69" s="20"/>
      <c r="B69"/>
      <c r="C69"/>
      <c r="D69"/>
      <c r="E69"/>
      <c r="F69" s="69" t="s">
        <v>19</v>
      </c>
      <c r="G69" s="72">
        <v>799</v>
      </c>
      <c r="H69" s="70">
        <v>0</v>
      </c>
      <c r="I69" s="70">
        <v>0</v>
      </c>
      <c r="J69" s="70">
        <v>0</v>
      </c>
      <c r="K69" s="70">
        <v>0</v>
      </c>
      <c r="L69" s="70">
        <v>0</v>
      </c>
      <c r="M69" s="70">
        <v>0</v>
      </c>
      <c r="N69" s="70">
        <v>799</v>
      </c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  <c r="AM69" s="20"/>
    </row>
    <row r="70" spans="1:39" ht="15" customHeight="1" x14ac:dyDescent="0.25">
      <c r="A70" s="20"/>
      <c r="B70"/>
      <c r="C70"/>
      <c r="D70"/>
      <c r="E70"/>
      <c r="F70" s="69" t="s">
        <v>19</v>
      </c>
      <c r="G70" s="72">
        <v>2198</v>
      </c>
      <c r="H70" s="70">
        <v>200</v>
      </c>
      <c r="I70" s="70">
        <v>0</v>
      </c>
      <c r="J70" s="70">
        <v>0</v>
      </c>
      <c r="K70" s="70">
        <v>0</v>
      </c>
      <c r="L70" s="70">
        <v>1199</v>
      </c>
      <c r="M70" s="70">
        <v>0</v>
      </c>
      <c r="N70" s="70">
        <v>799</v>
      </c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20"/>
      <c r="AM70" s="20"/>
    </row>
    <row r="71" spans="1:39" s="50" customFormat="1" ht="15" customHeight="1" x14ac:dyDescent="0.25">
      <c r="A71" s="49"/>
      <c r="B71"/>
      <c r="C71"/>
      <c r="D71"/>
      <c r="E71"/>
      <c r="F71" s="69" t="s">
        <v>19</v>
      </c>
      <c r="G71" s="72">
        <v>995</v>
      </c>
      <c r="H71" s="70">
        <v>0</v>
      </c>
      <c r="I71" s="70">
        <v>0</v>
      </c>
      <c r="J71" s="70">
        <v>0</v>
      </c>
      <c r="K71" s="70">
        <v>0</v>
      </c>
      <c r="L71" s="70">
        <v>995</v>
      </c>
      <c r="M71" s="70">
        <v>0</v>
      </c>
      <c r="N71" s="70">
        <v>0</v>
      </c>
      <c r="O71"/>
      <c r="P71"/>
      <c r="Q71"/>
      <c r="R71"/>
      <c r="S71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  <c r="AL71" s="49"/>
      <c r="AM71" s="49"/>
    </row>
    <row r="72" spans="1:39" ht="15" customHeight="1" x14ac:dyDescent="0.25">
      <c r="A72" s="20"/>
      <c r="B72"/>
      <c r="C72"/>
      <c r="D72"/>
      <c r="E72"/>
      <c r="F72" s="69" t="s">
        <v>19</v>
      </c>
      <c r="G72" s="72">
        <v>3439</v>
      </c>
      <c r="H72" s="70">
        <v>2440</v>
      </c>
      <c r="I72" s="70">
        <v>599</v>
      </c>
      <c r="J72" s="70">
        <v>400</v>
      </c>
      <c r="K72" s="70">
        <v>0</v>
      </c>
      <c r="L72" s="70">
        <v>0</v>
      </c>
      <c r="M72" s="70">
        <v>0</v>
      </c>
      <c r="N72" s="70">
        <v>0</v>
      </c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</row>
    <row r="73" spans="1:39" ht="15" customHeight="1" x14ac:dyDescent="0.25">
      <c r="A73" s="20"/>
      <c r="B73"/>
      <c r="C73"/>
      <c r="D73"/>
      <c r="E73"/>
      <c r="F73" s="69" t="s">
        <v>19</v>
      </c>
      <c r="G73" s="72">
        <v>999</v>
      </c>
      <c r="H73" s="70">
        <v>200</v>
      </c>
      <c r="I73" s="70">
        <v>0</v>
      </c>
      <c r="J73" s="70">
        <v>0</v>
      </c>
      <c r="K73" s="70">
        <v>0</v>
      </c>
      <c r="L73" s="70">
        <v>0</v>
      </c>
      <c r="M73" s="70">
        <v>0</v>
      </c>
      <c r="N73" s="70">
        <v>799</v>
      </c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0"/>
    </row>
    <row r="74" spans="1:39" ht="15" customHeight="1" x14ac:dyDescent="0.25">
      <c r="A74" s="20"/>
      <c r="B74"/>
      <c r="C74"/>
      <c r="D74"/>
      <c r="E74"/>
      <c r="F74" s="69" t="s">
        <v>19</v>
      </c>
      <c r="G74" s="72">
        <v>2253.61</v>
      </c>
      <c r="H74" s="70">
        <v>318.27</v>
      </c>
      <c r="I74" s="70">
        <v>0</v>
      </c>
      <c r="J74" s="70">
        <v>0</v>
      </c>
      <c r="K74" s="70">
        <v>0</v>
      </c>
      <c r="L74" s="70">
        <v>1193.77</v>
      </c>
      <c r="M74" s="70">
        <v>0</v>
      </c>
      <c r="N74" s="70">
        <v>741.57</v>
      </c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20"/>
      <c r="AM74" s="20"/>
    </row>
    <row r="75" spans="1:39" ht="15" customHeight="1" x14ac:dyDescent="0.25">
      <c r="A75" s="20"/>
      <c r="B75"/>
      <c r="C75"/>
      <c r="D75"/>
      <c r="E75"/>
      <c r="F75" s="69" t="s">
        <v>19</v>
      </c>
      <c r="G75" s="72">
        <v>0</v>
      </c>
      <c r="H75" s="70">
        <v>0</v>
      </c>
      <c r="I75" s="70">
        <v>0</v>
      </c>
      <c r="J75" s="70">
        <v>0</v>
      </c>
      <c r="K75" s="70">
        <v>0</v>
      </c>
      <c r="L75" s="70">
        <v>0</v>
      </c>
      <c r="M75" s="70">
        <v>0</v>
      </c>
      <c r="N75" s="70">
        <v>0</v>
      </c>
      <c r="O75" s="50" t="s">
        <v>134</v>
      </c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20"/>
      <c r="AM75" s="20"/>
    </row>
    <row r="76" spans="1:39" ht="15" customHeight="1" x14ac:dyDescent="0.25">
      <c r="A76" s="20"/>
      <c r="B76"/>
      <c r="C76"/>
      <c r="D76"/>
      <c r="E76"/>
      <c r="F76" s="69" t="s">
        <v>19</v>
      </c>
      <c r="G76" s="72">
        <v>2480</v>
      </c>
      <c r="H76" s="70">
        <v>1326</v>
      </c>
      <c r="I76" s="70">
        <v>455</v>
      </c>
      <c r="J76" s="70">
        <v>100</v>
      </c>
      <c r="K76" s="70">
        <v>0</v>
      </c>
      <c r="L76" s="70">
        <v>0</v>
      </c>
      <c r="M76" s="70">
        <v>0</v>
      </c>
      <c r="N76" s="70">
        <v>599</v>
      </c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20"/>
      <c r="AM76" s="20"/>
    </row>
    <row r="77" spans="1:39" ht="15" customHeight="1" x14ac:dyDescent="0.25">
      <c r="A77" s="20"/>
      <c r="B77"/>
      <c r="C77"/>
      <c r="D77"/>
      <c r="E77"/>
      <c r="F77" s="69" t="s">
        <v>19</v>
      </c>
      <c r="G77" s="72">
        <v>2254</v>
      </c>
      <c r="H77" s="70">
        <v>995</v>
      </c>
      <c r="I77" s="70">
        <v>560</v>
      </c>
      <c r="J77" s="70">
        <v>0</v>
      </c>
      <c r="K77" s="70">
        <v>0</v>
      </c>
      <c r="L77" s="70">
        <v>0</v>
      </c>
      <c r="M77" s="70">
        <v>0</v>
      </c>
      <c r="N77" s="70">
        <v>699</v>
      </c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20"/>
      <c r="AM77" s="20"/>
    </row>
    <row r="78" spans="1:39" ht="15" customHeight="1" x14ac:dyDescent="0.25">
      <c r="A78" s="20"/>
      <c r="B78"/>
      <c r="C78"/>
      <c r="D78"/>
      <c r="E78"/>
      <c r="F78" s="69" t="s">
        <v>19</v>
      </c>
      <c r="G78" s="72">
        <v>3320.72</v>
      </c>
      <c r="H78" s="70">
        <v>1519.25</v>
      </c>
      <c r="I78" s="70">
        <v>772.5</v>
      </c>
      <c r="J78" s="70">
        <v>0</v>
      </c>
      <c r="K78" s="70">
        <v>0</v>
      </c>
      <c r="L78" s="70">
        <v>0</v>
      </c>
      <c r="M78" s="70">
        <v>0</v>
      </c>
      <c r="N78" s="70">
        <v>1028.97</v>
      </c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20"/>
      <c r="AM78" s="20"/>
    </row>
    <row r="79" spans="1:39" ht="15" customHeight="1" x14ac:dyDescent="0.25">
      <c r="A79" s="20"/>
      <c r="B79"/>
      <c r="C79"/>
      <c r="D79"/>
      <c r="E79"/>
      <c r="F79" s="69" t="s">
        <v>19</v>
      </c>
      <c r="G79" s="72">
        <v>3982.99</v>
      </c>
      <c r="H79" s="70">
        <v>1954.93</v>
      </c>
      <c r="I79" s="70">
        <v>616.96</v>
      </c>
      <c r="J79" s="70">
        <v>0</v>
      </c>
      <c r="K79" s="70">
        <v>0</v>
      </c>
      <c r="L79" s="70">
        <v>1411.1</v>
      </c>
      <c r="M79" s="70">
        <v>0</v>
      </c>
      <c r="N79" s="70">
        <v>0</v>
      </c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  <c r="AM79" s="20"/>
    </row>
    <row r="80" spans="1:39" ht="15" customHeight="1" x14ac:dyDescent="0.25">
      <c r="A80" s="20"/>
      <c r="B80"/>
      <c r="C80"/>
      <c r="D80"/>
      <c r="E80"/>
      <c r="F80" s="69" t="s">
        <v>19</v>
      </c>
      <c r="G80" s="72">
        <v>2654</v>
      </c>
      <c r="H80" s="70">
        <v>2654</v>
      </c>
      <c r="I80" s="70">
        <v>0</v>
      </c>
      <c r="J80" s="70">
        <v>0</v>
      </c>
      <c r="K80" s="70">
        <v>0</v>
      </c>
      <c r="L80" s="70">
        <v>0</v>
      </c>
      <c r="M80" s="70">
        <v>0</v>
      </c>
      <c r="N80" s="70">
        <v>0</v>
      </c>
      <c r="O80" s="50" t="s">
        <v>133</v>
      </c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20"/>
      <c r="AM80" s="20"/>
    </row>
    <row r="81" spans="1:40" ht="15" customHeight="1" x14ac:dyDescent="0.25">
      <c r="A81" s="20"/>
      <c r="B81"/>
      <c r="C81"/>
      <c r="D81"/>
      <c r="E81"/>
      <c r="F81" s="69" t="s">
        <v>19</v>
      </c>
      <c r="G81" s="72">
        <v>0</v>
      </c>
      <c r="H81" s="70">
        <v>0</v>
      </c>
      <c r="I81" s="70">
        <v>0</v>
      </c>
      <c r="J81" s="70">
        <v>0</v>
      </c>
      <c r="K81" s="70">
        <v>0</v>
      </c>
      <c r="L81" s="70">
        <v>0</v>
      </c>
      <c r="M81" s="70">
        <v>0</v>
      </c>
      <c r="N81" s="70">
        <v>0</v>
      </c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20"/>
      <c r="AM81" s="20"/>
    </row>
    <row r="82" spans="1:40" ht="15" customHeight="1" x14ac:dyDescent="0.25">
      <c r="A82" s="20"/>
      <c r="B82"/>
      <c r="C82"/>
      <c r="D82"/>
      <c r="E82"/>
      <c r="F82" s="69" t="s">
        <v>19</v>
      </c>
      <c r="G82" s="72">
        <v>379</v>
      </c>
      <c r="H82" s="70">
        <v>0</v>
      </c>
      <c r="I82" s="70">
        <v>0</v>
      </c>
      <c r="J82" s="70">
        <v>0</v>
      </c>
      <c r="K82" s="70">
        <v>0</v>
      </c>
      <c r="L82" s="70">
        <v>379</v>
      </c>
      <c r="M82" s="70">
        <v>0</v>
      </c>
      <c r="N82" s="70">
        <v>0</v>
      </c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20"/>
      <c r="AM82" s="20"/>
    </row>
    <row r="83" spans="1:40" ht="15" customHeight="1" x14ac:dyDescent="0.25">
      <c r="A83" s="20"/>
      <c r="B83"/>
      <c r="C83"/>
      <c r="D83"/>
      <c r="E83"/>
      <c r="F83" s="69" t="s">
        <v>19</v>
      </c>
      <c r="G83" s="72">
        <v>1865</v>
      </c>
      <c r="H83" s="70">
        <v>0</v>
      </c>
      <c r="I83" s="70">
        <v>0</v>
      </c>
      <c r="J83" s="70">
        <v>0</v>
      </c>
      <c r="K83" s="70">
        <v>0</v>
      </c>
      <c r="L83" s="70">
        <v>0</v>
      </c>
      <c r="M83" s="70">
        <v>1865</v>
      </c>
      <c r="N83" s="70">
        <v>0</v>
      </c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20"/>
      <c r="AM83" s="20"/>
    </row>
    <row r="84" spans="1:40" ht="15" customHeight="1" x14ac:dyDescent="0.25">
      <c r="A84" s="20"/>
      <c r="B84"/>
      <c r="C84"/>
      <c r="D84"/>
      <c r="E84"/>
      <c r="F84" s="69" t="s">
        <v>19</v>
      </c>
      <c r="G84" s="72">
        <v>2429</v>
      </c>
      <c r="H84" s="70">
        <v>0</v>
      </c>
      <c r="I84" s="70">
        <v>0</v>
      </c>
      <c r="J84" s="70">
        <v>0</v>
      </c>
      <c r="K84" s="70">
        <v>0</v>
      </c>
      <c r="L84" s="70">
        <v>0</v>
      </c>
      <c r="M84" s="70">
        <v>2429</v>
      </c>
      <c r="N84" s="70">
        <v>0</v>
      </c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</row>
    <row r="85" spans="1:40" ht="15" customHeight="1" x14ac:dyDescent="0.25">
      <c r="A85" s="20"/>
      <c r="B85"/>
      <c r="C85"/>
      <c r="D85"/>
      <c r="E85"/>
      <c r="F85" s="69" t="s">
        <v>19</v>
      </c>
      <c r="G85" s="72">
        <v>4149</v>
      </c>
      <c r="H85" s="70">
        <v>1905</v>
      </c>
      <c r="I85" s="70">
        <v>750</v>
      </c>
      <c r="J85" s="70">
        <v>0</v>
      </c>
      <c r="K85" s="70">
        <v>0</v>
      </c>
      <c r="L85" s="70">
        <v>645</v>
      </c>
      <c r="M85" s="70">
        <v>0</v>
      </c>
      <c r="N85" s="70">
        <v>849</v>
      </c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20"/>
      <c r="AM85" s="20"/>
    </row>
    <row r="86" spans="1:40" ht="15" customHeight="1" x14ac:dyDescent="0.25">
      <c r="A86" s="20"/>
      <c r="B86"/>
      <c r="C86"/>
      <c r="D86"/>
      <c r="E86"/>
      <c r="F86" s="69" t="s">
        <v>19</v>
      </c>
      <c r="G86" s="72">
        <v>2480</v>
      </c>
      <c r="H86" s="70">
        <v>1326</v>
      </c>
      <c r="I86" s="70">
        <v>455</v>
      </c>
      <c r="J86" s="70">
        <v>100</v>
      </c>
      <c r="K86" s="70">
        <v>0</v>
      </c>
      <c r="L86" s="70">
        <v>0</v>
      </c>
      <c r="M86" s="70">
        <v>0</v>
      </c>
      <c r="N86" s="70">
        <v>599</v>
      </c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20"/>
      <c r="AM86" s="20"/>
    </row>
    <row r="87" spans="1:40" ht="15" customHeight="1" x14ac:dyDescent="0.25">
      <c r="A87" s="20"/>
      <c r="B87"/>
      <c r="C87"/>
      <c r="D87"/>
      <c r="E87"/>
      <c r="F87" s="69" t="s">
        <v>19</v>
      </c>
      <c r="G87" s="72">
        <v>4814</v>
      </c>
      <c r="H87" s="70">
        <v>2926.5</v>
      </c>
      <c r="I87" s="70">
        <v>0</v>
      </c>
      <c r="J87" s="70">
        <v>637.5</v>
      </c>
      <c r="K87" s="70">
        <v>0</v>
      </c>
      <c r="L87" s="70">
        <v>0</v>
      </c>
      <c r="M87" s="70">
        <v>0</v>
      </c>
      <c r="N87" s="70">
        <v>1250</v>
      </c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20"/>
      <c r="AM87" s="20"/>
    </row>
    <row r="88" spans="1:40" ht="15" customHeight="1" x14ac:dyDescent="0.25">
      <c r="A88" s="20"/>
      <c r="B88"/>
      <c r="C88"/>
      <c r="D88"/>
      <c r="E88"/>
      <c r="F88" s="69" t="s">
        <v>19</v>
      </c>
      <c r="G88" s="72">
        <v>2855</v>
      </c>
      <c r="H88" s="70">
        <v>2630</v>
      </c>
      <c r="I88" s="70">
        <v>0</v>
      </c>
      <c r="J88" s="70">
        <v>225</v>
      </c>
      <c r="K88" s="70">
        <v>0</v>
      </c>
      <c r="L88" s="70">
        <v>0</v>
      </c>
      <c r="M88" s="70">
        <v>0</v>
      </c>
      <c r="N88" s="70">
        <v>0</v>
      </c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20"/>
      <c r="AM88" s="20"/>
    </row>
    <row r="89" spans="1:40" x14ac:dyDescent="0.25">
      <c r="A89" s="20"/>
      <c r="B89"/>
      <c r="C89"/>
      <c r="D89"/>
      <c r="E89"/>
      <c r="F89" s="69" t="s">
        <v>19</v>
      </c>
      <c r="G89" s="72">
        <v>6125</v>
      </c>
      <c r="H89" s="70">
        <v>2752.1</v>
      </c>
      <c r="I89" s="70">
        <v>650</v>
      </c>
      <c r="J89" s="70">
        <v>194.9</v>
      </c>
      <c r="K89" s="70">
        <v>0</v>
      </c>
      <c r="L89" s="70">
        <v>1529</v>
      </c>
      <c r="M89" s="70">
        <v>999</v>
      </c>
      <c r="N89" s="70">
        <v>0</v>
      </c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  <c r="AM89" s="20"/>
      <c r="AN89" s="20"/>
    </row>
    <row r="90" spans="1:40" x14ac:dyDescent="0.25">
      <c r="A90" s="20"/>
      <c r="B90"/>
      <c r="C90"/>
      <c r="D90"/>
      <c r="E90"/>
      <c r="F90" s="69" t="s">
        <v>19</v>
      </c>
      <c r="G90" s="72">
        <v>3958</v>
      </c>
      <c r="H90" s="70">
        <v>2645</v>
      </c>
      <c r="I90" s="70">
        <v>1313</v>
      </c>
      <c r="J90" s="70">
        <v>0</v>
      </c>
      <c r="K90" s="70">
        <v>0</v>
      </c>
      <c r="L90" s="70">
        <v>0</v>
      </c>
      <c r="M90" s="70">
        <v>0</v>
      </c>
      <c r="N90" s="70">
        <v>0</v>
      </c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20"/>
      <c r="AM90" s="20"/>
      <c r="AN90" s="20"/>
    </row>
    <row r="91" spans="1:40" x14ac:dyDescent="0.25">
      <c r="A91" s="20"/>
      <c r="B91" s="32"/>
      <c r="C91" s="32"/>
      <c r="D91" s="32"/>
      <c r="E91" s="32"/>
      <c r="F91" s="31"/>
      <c r="G91" s="31"/>
      <c r="H91" s="32"/>
      <c r="I91" s="32"/>
      <c r="J91" s="32"/>
      <c r="K91" s="32"/>
      <c r="L91" s="32"/>
      <c r="M91" s="32"/>
      <c r="N91" s="32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20"/>
      <c r="AM91" s="20"/>
      <c r="AN91" s="20"/>
    </row>
    <row r="92" spans="1:40" x14ac:dyDescent="0.25">
      <c r="A92" s="20"/>
      <c r="B92" s="32"/>
      <c r="C92" s="32"/>
      <c r="D92" s="32"/>
      <c r="E92" s="32"/>
      <c r="F92" s="31"/>
      <c r="G92" s="31"/>
      <c r="H92" s="32"/>
      <c r="I92" s="32"/>
      <c r="J92" s="32"/>
      <c r="K92" s="32"/>
      <c r="L92" s="32"/>
      <c r="M92" s="32"/>
      <c r="N92" s="32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20"/>
      <c r="AM92" s="20"/>
      <c r="AN92" s="20"/>
    </row>
    <row r="93" spans="1:40" x14ac:dyDescent="0.25">
      <c r="A93" s="20"/>
      <c r="B93" s="20"/>
      <c r="C93" s="20"/>
      <c r="D93" s="20"/>
      <c r="E93" s="20"/>
      <c r="F93" s="71"/>
      <c r="G93" s="31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20"/>
      <c r="AM93" s="20"/>
    </row>
    <row r="94" spans="1:40" x14ac:dyDescent="0.25">
      <c r="A94" s="20"/>
      <c r="B94" s="20"/>
      <c r="C94" s="20"/>
      <c r="D94" s="20"/>
      <c r="E94" s="20"/>
      <c r="F94" s="71"/>
      <c r="G94" s="31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20"/>
      <c r="AM94" s="20"/>
    </row>
    <row r="95" spans="1:40" x14ac:dyDescent="0.25">
      <c r="A95" s="20"/>
      <c r="B95" s="20"/>
      <c r="C95" s="20"/>
      <c r="D95" s="20"/>
      <c r="E95" s="20"/>
      <c r="F95" s="71"/>
      <c r="G95" s="31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20"/>
      <c r="AM95" s="20"/>
    </row>
    <row r="96" spans="1:40" x14ac:dyDescent="0.25">
      <c r="A96" s="20"/>
      <c r="B96" s="20"/>
      <c r="C96" s="20"/>
      <c r="D96" s="20"/>
      <c r="E96" s="20"/>
      <c r="F96" s="71"/>
      <c r="G96" s="31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20"/>
      <c r="AM96" s="20"/>
    </row>
    <row r="97" spans="1:39" x14ac:dyDescent="0.25">
      <c r="A97" s="20"/>
      <c r="B97" s="20"/>
      <c r="C97" s="20"/>
      <c r="D97" s="20"/>
      <c r="E97" s="20"/>
      <c r="F97" s="71"/>
      <c r="G97" s="31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20"/>
      <c r="AM97" s="20"/>
    </row>
    <row r="98" spans="1:39" x14ac:dyDescent="0.25">
      <c r="A98" s="20"/>
      <c r="B98" s="20"/>
      <c r="C98" s="20"/>
      <c r="D98" s="20"/>
      <c r="E98" s="20"/>
      <c r="F98" s="71"/>
      <c r="G98" s="31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/>
    </row>
    <row r="99" spans="1:39" x14ac:dyDescent="0.25">
      <c r="A99" s="20"/>
      <c r="B99" s="20"/>
      <c r="C99" s="20"/>
      <c r="D99" s="20"/>
      <c r="E99" s="20"/>
      <c r="F99" s="71"/>
      <c r="G99" s="31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20"/>
      <c r="AM99" s="20"/>
    </row>
    <row r="100" spans="1:39" x14ac:dyDescent="0.25">
      <c r="A100" s="20"/>
      <c r="B100" s="20"/>
      <c r="C100" s="20"/>
      <c r="D100" s="20"/>
      <c r="E100" s="20"/>
      <c r="F100" s="71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20"/>
      <c r="AM100" s="20"/>
    </row>
    <row r="101" spans="1:39" x14ac:dyDescent="0.25">
      <c r="A101" s="20"/>
      <c r="B101" s="20"/>
      <c r="C101" s="20"/>
      <c r="D101" s="20"/>
      <c r="E101" s="20"/>
      <c r="F101" s="71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20"/>
      <c r="AM101" s="20"/>
    </row>
    <row r="102" spans="1:39" x14ac:dyDescent="0.25">
      <c r="A102" s="20"/>
      <c r="B102" s="20"/>
      <c r="C102" s="20"/>
      <c r="D102" s="20"/>
      <c r="E102" s="20"/>
      <c r="F102" s="71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  <c r="AM102" s="20"/>
    </row>
    <row r="103" spans="1:39" x14ac:dyDescent="0.25">
      <c r="A103" s="20"/>
      <c r="B103" s="20"/>
      <c r="C103" s="20"/>
      <c r="D103" s="20"/>
      <c r="E103" s="20"/>
      <c r="F103" s="71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20"/>
      <c r="AM103" s="20"/>
    </row>
    <row r="104" spans="1:39" x14ac:dyDescent="0.25">
      <c r="A104" s="20"/>
      <c r="B104" s="20"/>
      <c r="C104" s="20"/>
      <c r="D104" s="20"/>
      <c r="E104" s="20"/>
      <c r="F104" s="71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20"/>
      <c r="AM104" s="20"/>
    </row>
    <row r="105" spans="1:39" x14ac:dyDescent="0.25">
      <c r="A105" s="20"/>
      <c r="B105" s="20"/>
      <c r="C105" s="20"/>
      <c r="D105" s="20"/>
      <c r="E105" s="20"/>
      <c r="F105" s="71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20"/>
      <c r="AM105" s="20"/>
    </row>
    <row r="106" spans="1:39" x14ac:dyDescent="0.25">
      <c r="A106" s="20"/>
      <c r="B106" s="20"/>
      <c r="C106" s="20"/>
      <c r="D106" s="20"/>
      <c r="E106" s="20"/>
      <c r="F106" s="71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20"/>
      <c r="AM106" s="20"/>
    </row>
    <row r="107" spans="1:39" x14ac:dyDescent="0.25">
      <c r="A107" s="20"/>
      <c r="B107" s="20"/>
      <c r="C107" s="20"/>
      <c r="D107" s="20"/>
      <c r="E107" s="20"/>
      <c r="F107" s="71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  <c r="AM107" s="20"/>
    </row>
    <row r="108" spans="1:39" x14ac:dyDescent="0.25">
      <c r="A108" s="20"/>
      <c r="B108" s="20"/>
      <c r="C108" s="20"/>
      <c r="D108" s="20"/>
      <c r="E108" s="20"/>
      <c r="F108" s="71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20"/>
      <c r="AM108" s="20"/>
    </row>
    <row r="109" spans="1:39" x14ac:dyDescent="0.25">
      <c r="A109" s="20"/>
      <c r="B109" s="20"/>
      <c r="C109" s="20"/>
      <c r="D109" s="20"/>
      <c r="E109" s="20"/>
      <c r="F109" s="71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20"/>
      <c r="AM109" s="20"/>
    </row>
    <row r="110" spans="1:39" x14ac:dyDescent="0.25">
      <c r="A110" s="20"/>
      <c r="B110" s="20"/>
      <c r="C110" s="20"/>
      <c r="D110" s="20"/>
      <c r="E110" s="20"/>
      <c r="F110" s="71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20"/>
      <c r="AM110" s="20"/>
    </row>
    <row r="111" spans="1:39" x14ac:dyDescent="0.25">
      <c r="A111" s="20"/>
      <c r="B111" s="20"/>
      <c r="C111" s="20"/>
      <c r="D111" s="20"/>
      <c r="E111" s="20"/>
      <c r="F111" s="71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20"/>
      <c r="AM111" s="20"/>
    </row>
    <row r="112" spans="1:39" x14ac:dyDescent="0.25">
      <c r="A112" s="20"/>
      <c r="B112" s="20"/>
      <c r="C112" s="20"/>
      <c r="D112" s="20"/>
      <c r="E112" s="20"/>
      <c r="F112" s="71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20"/>
      <c r="AM112" s="20"/>
    </row>
    <row r="113" spans="1:39" x14ac:dyDescent="0.25">
      <c r="A113" s="20"/>
      <c r="B113" s="20"/>
      <c r="C113" s="20"/>
      <c r="D113" s="20"/>
      <c r="E113" s="20"/>
      <c r="F113" s="71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20"/>
      <c r="AM113" s="20"/>
    </row>
    <row r="114" spans="1:39" x14ac:dyDescent="0.25">
      <c r="A114" s="20"/>
      <c r="B114" s="20"/>
      <c r="C114" s="20"/>
      <c r="D114" s="20"/>
      <c r="E114" s="20"/>
      <c r="F114" s="71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20"/>
      <c r="AM114" s="20"/>
    </row>
    <row r="115" spans="1:39" x14ac:dyDescent="0.25">
      <c r="A115" s="20"/>
      <c r="B115" s="20"/>
      <c r="C115" s="20"/>
      <c r="D115" s="20"/>
      <c r="E115" s="20"/>
      <c r="F115" s="71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20"/>
      <c r="AM115" s="20"/>
    </row>
    <row r="116" spans="1:39" x14ac:dyDescent="0.25">
      <c r="A116" s="20"/>
      <c r="B116" s="20"/>
      <c r="C116" s="20"/>
      <c r="D116" s="20"/>
      <c r="E116" s="20"/>
      <c r="F116" s="71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20"/>
      <c r="AM116" s="20"/>
    </row>
    <row r="117" spans="1:39" x14ac:dyDescent="0.25">
      <c r="A117" s="20"/>
      <c r="B117" s="20"/>
      <c r="C117" s="20"/>
      <c r="D117" s="20"/>
      <c r="E117" s="20"/>
      <c r="F117" s="71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20"/>
      <c r="AM117" s="20"/>
    </row>
    <row r="118" spans="1:39" x14ac:dyDescent="0.25">
      <c r="A118" s="20"/>
      <c r="B118" s="20"/>
      <c r="C118" s="20"/>
      <c r="D118" s="20"/>
      <c r="E118" s="20"/>
      <c r="F118" s="71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20"/>
      <c r="AM118" s="20"/>
    </row>
    <row r="119" spans="1:39" x14ac:dyDescent="0.25">
      <c r="A119" s="20"/>
      <c r="B119" s="20"/>
      <c r="C119" s="20"/>
      <c r="D119" s="20"/>
      <c r="E119" s="20"/>
      <c r="F119" s="71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20"/>
      <c r="AM119" s="20"/>
    </row>
    <row r="120" spans="1:39" x14ac:dyDescent="0.25">
      <c r="A120" s="20"/>
      <c r="B120" s="20"/>
      <c r="C120" s="20"/>
      <c r="D120" s="20"/>
      <c r="E120" s="20"/>
      <c r="F120" s="71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20"/>
      <c r="AM120" s="20"/>
    </row>
    <row r="121" spans="1:39" x14ac:dyDescent="0.25">
      <c r="A121" s="20"/>
      <c r="B121" s="20"/>
      <c r="C121" s="20"/>
      <c r="D121" s="20"/>
      <c r="E121" s="20"/>
      <c r="F121" s="71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20"/>
      <c r="AM121" s="20"/>
    </row>
    <row r="122" spans="1:39" x14ac:dyDescent="0.25">
      <c r="A122" s="20"/>
      <c r="B122" s="20"/>
      <c r="C122" s="20"/>
      <c r="D122" s="20"/>
      <c r="E122" s="20"/>
      <c r="F122" s="71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20"/>
      <c r="AM122" s="20"/>
    </row>
    <row r="123" spans="1:39" x14ac:dyDescent="0.25">
      <c r="A123" s="20"/>
      <c r="B123" s="20"/>
      <c r="C123" s="20"/>
      <c r="D123" s="20"/>
      <c r="E123" s="20"/>
      <c r="F123" s="71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20"/>
      <c r="AM123" s="20"/>
    </row>
    <row r="124" spans="1:39" x14ac:dyDescent="0.25">
      <c r="A124" s="20"/>
      <c r="B124" s="20"/>
      <c r="C124" s="20"/>
      <c r="D124" s="20"/>
      <c r="E124" s="20"/>
      <c r="F124" s="71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20"/>
      <c r="AM124" s="20"/>
    </row>
    <row r="125" spans="1:39" x14ac:dyDescent="0.25">
      <c r="A125" s="20"/>
      <c r="B125" s="20"/>
      <c r="C125" s="20"/>
      <c r="D125" s="20"/>
      <c r="E125" s="20"/>
      <c r="F125" s="71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20"/>
      <c r="AM125" s="20"/>
    </row>
    <row r="126" spans="1:39" x14ac:dyDescent="0.25">
      <c r="A126" s="20"/>
      <c r="B126" s="20"/>
      <c r="C126" s="20"/>
      <c r="D126" s="20"/>
      <c r="E126" s="20"/>
      <c r="F126" s="71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20"/>
      <c r="AM126" s="20"/>
    </row>
    <row r="127" spans="1:39" x14ac:dyDescent="0.25">
      <c r="A127" s="20"/>
      <c r="B127" s="20"/>
      <c r="C127" s="20"/>
      <c r="D127" s="20"/>
      <c r="E127" s="20"/>
      <c r="F127" s="71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  <c r="AM127" s="20"/>
    </row>
    <row r="128" spans="1:39" x14ac:dyDescent="0.25">
      <c r="A128" s="20"/>
      <c r="B128" s="20"/>
      <c r="C128" s="20"/>
      <c r="D128" s="20"/>
      <c r="E128" s="20"/>
      <c r="F128" s="71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20"/>
      <c r="AM128" s="20"/>
    </row>
    <row r="129" spans="1:39" x14ac:dyDescent="0.25">
      <c r="A129" s="20"/>
      <c r="B129" s="20"/>
      <c r="C129" s="20"/>
      <c r="D129" s="20"/>
      <c r="E129" s="20"/>
      <c r="F129" s="71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20"/>
      <c r="AM129" s="20"/>
    </row>
    <row r="130" spans="1:39" x14ac:dyDescent="0.25">
      <c r="A130" s="20"/>
      <c r="B130" s="20"/>
      <c r="C130" s="20"/>
      <c r="D130" s="20"/>
      <c r="E130" s="20"/>
      <c r="F130" s="71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20"/>
      <c r="AM130" s="20"/>
    </row>
    <row r="131" spans="1:39" x14ac:dyDescent="0.25">
      <c r="A131" s="20"/>
      <c r="B131" s="20"/>
      <c r="C131" s="20"/>
      <c r="D131" s="20"/>
      <c r="E131" s="20"/>
      <c r="F131" s="71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20"/>
      <c r="AM131" s="20"/>
    </row>
    <row r="132" spans="1:39" x14ac:dyDescent="0.25">
      <c r="A132" s="20"/>
      <c r="B132" s="20"/>
      <c r="C132" s="20"/>
      <c r="D132" s="20"/>
      <c r="E132" s="20"/>
      <c r="F132" s="71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20"/>
      <c r="AM132" s="20"/>
    </row>
    <row r="133" spans="1:39" x14ac:dyDescent="0.25">
      <c r="A133" s="20"/>
      <c r="B133" s="20"/>
      <c r="C133" s="20"/>
      <c r="D133" s="20"/>
      <c r="E133" s="20"/>
      <c r="F133" s="71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20"/>
      <c r="AM133" s="20"/>
    </row>
    <row r="134" spans="1:39" x14ac:dyDescent="0.25">
      <c r="A134" s="20"/>
      <c r="B134" s="20"/>
      <c r="C134" s="20"/>
      <c r="D134" s="20"/>
      <c r="E134" s="20"/>
      <c r="F134" s="71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20"/>
      <c r="AM134" s="20"/>
    </row>
    <row r="135" spans="1:39" x14ac:dyDescent="0.25">
      <c r="A135" s="20"/>
      <c r="B135" s="20"/>
      <c r="C135" s="20"/>
      <c r="D135" s="20"/>
      <c r="E135" s="20"/>
      <c r="F135" s="71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20"/>
      <c r="AM135" s="20"/>
    </row>
    <row r="136" spans="1:39" x14ac:dyDescent="0.25">
      <c r="A136" s="20"/>
      <c r="B136" s="20"/>
      <c r="C136" s="20"/>
      <c r="D136" s="20"/>
      <c r="E136" s="20"/>
      <c r="F136" s="71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20"/>
      <c r="AM136" s="20"/>
    </row>
    <row r="137" spans="1:39" x14ac:dyDescent="0.25">
      <c r="A137" s="20"/>
      <c r="B137" s="20"/>
      <c r="C137" s="20"/>
      <c r="D137" s="20"/>
      <c r="E137" s="20"/>
      <c r="F137" s="71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20"/>
      <c r="AM137" s="20"/>
    </row>
    <row r="138" spans="1:39" x14ac:dyDescent="0.25">
      <c r="A138" s="20"/>
      <c r="B138" s="20"/>
      <c r="C138" s="20"/>
      <c r="D138" s="20"/>
      <c r="E138" s="20"/>
      <c r="F138" s="71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20"/>
      <c r="AM138" s="20"/>
    </row>
    <row r="139" spans="1:39" x14ac:dyDescent="0.25">
      <c r="A139" s="20"/>
      <c r="B139" s="20"/>
      <c r="C139" s="20"/>
      <c r="D139" s="20"/>
      <c r="E139" s="20"/>
      <c r="F139" s="71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20"/>
      <c r="AM139" s="20"/>
    </row>
    <row r="140" spans="1:39" x14ac:dyDescent="0.25">
      <c r="A140" s="20"/>
      <c r="B140" s="20"/>
      <c r="C140" s="20"/>
      <c r="D140" s="20"/>
      <c r="E140" s="20"/>
      <c r="F140" s="71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20"/>
      <c r="AM140" s="20"/>
    </row>
    <row r="141" spans="1:39" x14ac:dyDescent="0.25">
      <c r="A141" s="20"/>
      <c r="B141" s="20"/>
      <c r="C141" s="20"/>
      <c r="D141" s="20"/>
      <c r="E141" s="20"/>
      <c r="F141" s="71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20"/>
      <c r="AM141" s="20"/>
    </row>
    <row r="142" spans="1:39" x14ac:dyDescent="0.25">
      <c r="A142" s="20"/>
      <c r="B142" s="20"/>
      <c r="C142" s="20"/>
      <c r="D142" s="20"/>
      <c r="E142" s="20"/>
      <c r="F142" s="71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20"/>
      <c r="AM142" s="20"/>
    </row>
    <row r="143" spans="1:39" x14ac:dyDescent="0.25">
      <c r="A143" s="20"/>
      <c r="B143" s="20"/>
      <c r="C143" s="20"/>
      <c r="D143" s="20"/>
      <c r="E143" s="20"/>
      <c r="F143" s="71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20"/>
      <c r="AM143" s="20"/>
    </row>
    <row r="144" spans="1:39" x14ac:dyDescent="0.25">
      <c r="A144" s="20"/>
      <c r="B144" s="20"/>
      <c r="C144" s="20"/>
      <c r="D144" s="20"/>
      <c r="E144" s="20"/>
      <c r="F144" s="71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20"/>
      <c r="AM144" s="20"/>
    </row>
    <row r="145" spans="1:39" x14ac:dyDescent="0.25">
      <c r="A145" s="20"/>
      <c r="B145" s="20"/>
      <c r="C145" s="20"/>
      <c r="D145" s="20"/>
      <c r="E145" s="20"/>
      <c r="F145" s="71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20"/>
      <c r="AM145" s="20"/>
    </row>
    <row r="146" spans="1:39" x14ac:dyDescent="0.25">
      <c r="A146" s="20"/>
      <c r="B146" s="20"/>
      <c r="C146" s="20"/>
      <c r="D146" s="20"/>
      <c r="E146" s="20"/>
      <c r="F146" s="71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20"/>
      <c r="AM146" s="20"/>
    </row>
    <row r="147" spans="1:39" x14ac:dyDescent="0.25">
      <c r="A147" s="20"/>
      <c r="B147" s="20"/>
      <c r="C147" s="20"/>
      <c r="D147" s="20"/>
      <c r="E147" s="20"/>
      <c r="F147" s="71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20"/>
      <c r="AM147" s="20"/>
    </row>
    <row r="148" spans="1:39" x14ac:dyDescent="0.25">
      <c r="A148" s="20"/>
      <c r="B148" s="20"/>
      <c r="C148" s="20"/>
      <c r="D148" s="20"/>
      <c r="E148" s="20"/>
      <c r="F148" s="71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20"/>
      <c r="AM148" s="20"/>
    </row>
    <row r="149" spans="1:39" x14ac:dyDescent="0.25">
      <c r="A149" s="20"/>
      <c r="B149" s="20"/>
      <c r="C149" s="20"/>
      <c r="D149" s="20"/>
      <c r="E149" s="20"/>
      <c r="F149" s="71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20"/>
      <c r="AM149" s="20"/>
    </row>
    <row r="150" spans="1:39" x14ac:dyDescent="0.25">
      <c r="A150" s="20"/>
      <c r="B150" s="20"/>
      <c r="C150" s="20"/>
      <c r="D150" s="20"/>
      <c r="E150" s="20"/>
      <c r="F150" s="71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20"/>
      <c r="AM150" s="20"/>
    </row>
    <row r="151" spans="1:39" x14ac:dyDescent="0.25">
      <c r="A151" s="20"/>
      <c r="B151" s="20"/>
      <c r="C151" s="20"/>
      <c r="D151" s="20"/>
      <c r="E151" s="20"/>
      <c r="F151" s="71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20"/>
      <c r="AM151" s="20"/>
    </row>
    <row r="152" spans="1:39" x14ac:dyDescent="0.25">
      <c r="A152" s="20"/>
      <c r="B152" s="20"/>
      <c r="C152" s="20"/>
      <c r="D152" s="20"/>
      <c r="E152" s="20"/>
      <c r="F152" s="71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20"/>
      <c r="AM152" s="20"/>
    </row>
    <row r="153" spans="1:39" x14ac:dyDescent="0.25">
      <c r="A153" s="20"/>
      <c r="B153" s="20"/>
      <c r="C153" s="20"/>
      <c r="D153" s="20"/>
      <c r="E153" s="20"/>
      <c r="F153" s="71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20"/>
      <c r="AM153" s="20"/>
    </row>
    <row r="154" spans="1:39" x14ac:dyDescent="0.25">
      <c r="A154" s="20"/>
      <c r="B154" s="20"/>
      <c r="C154" s="20"/>
      <c r="D154" s="20"/>
      <c r="E154" s="20"/>
      <c r="F154" s="71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20"/>
      <c r="AM154" s="20"/>
    </row>
    <row r="155" spans="1:39" x14ac:dyDescent="0.25">
      <c r="A155" s="20"/>
      <c r="B155" s="20"/>
      <c r="C155" s="20"/>
      <c r="D155" s="20"/>
      <c r="E155" s="20"/>
      <c r="F155" s="71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20"/>
      <c r="AM155" s="20"/>
    </row>
    <row r="156" spans="1:39" x14ac:dyDescent="0.25">
      <c r="A156" s="20"/>
      <c r="B156" s="20"/>
      <c r="C156" s="20"/>
      <c r="D156" s="20"/>
      <c r="E156" s="20"/>
      <c r="F156" s="71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20"/>
      <c r="AM156" s="20"/>
    </row>
    <row r="157" spans="1:39" x14ac:dyDescent="0.25">
      <c r="A157" s="20"/>
      <c r="B157" s="32"/>
      <c r="C157" s="32"/>
      <c r="D157" s="32"/>
      <c r="E157" s="32"/>
      <c r="F157" s="31"/>
      <c r="G157" s="32"/>
      <c r="H157" s="32"/>
      <c r="I157" s="32"/>
      <c r="J157" s="32"/>
      <c r="K157" s="32"/>
      <c r="L157" s="32"/>
      <c r="M157" s="32"/>
      <c r="N157" s="32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20"/>
      <c r="AM157" s="20"/>
    </row>
    <row r="158" spans="1:39" x14ac:dyDescent="0.25">
      <c r="A158" s="20"/>
      <c r="B158" s="32"/>
      <c r="C158" s="32"/>
      <c r="D158" s="32"/>
      <c r="E158" s="32"/>
      <c r="F158" s="31"/>
      <c r="G158" s="32"/>
      <c r="H158" s="32"/>
      <c r="I158" s="32"/>
      <c r="J158" s="32"/>
      <c r="K158" s="32"/>
      <c r="L158" s="32"/>
      <c r="M158" s="32"/>
      <c r="N158" s="32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20"/>
      <c r="AM158" s="20"/>
    </row>
    <row r="159" spans="1:39" x14ac:dyDescent="0.25">
      <c r="A159" s="20"/>
      <c r="B159" s="32"/>
      <c r="C159" s="32"/>
      <c r="D159" s="32"/>
      <c r="E159" s="32"/>
      <c r="F159" s="31"/>
      <c r="G159" s="32"/>
      <c r="H159" s="32"/>
      <c r="I159" s="32"/>
      <c r="J159" s="32"/>
      <c r="K159" s="32"/>
      <c r="L159" s="32"/>
      <c r="M159" s="32"/>
      <c r="N159" s="32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20"/>
      <c r="AM159" s="20"/>
    </row>
    <row r="160" spans="1:39" x14ac:dyDescent="0.25">
      <c r="A160" s="20"/>
      <c r="B160" s="32"/>
      <c r="C160" s="32"/>
      <c r="D160" s="32"/>
      <c r="E160" s="32"/>
      <c r="F160" s="31"/>
      <c r="G160" s="32"/>
      <c r="H160" s="32"/>
      <c r="I160" s="32"/>
      <c r="J160" s="32"/>
      <c r="K160" s="32"/>
      <c r="L160" s="32"/>
      <c r="M160" s="32"/>
      <c r="N160" s="32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20"/>
      <c r="AM160" s="20"/>
    </row>
    <row r="161" spans="1:39" x14ac:dyDescent="0.25">
      <c r="A161" s="20"/>
      <c r="B161" s="32"/>
      <c r="C161" s="32"/>
      <c r="D161" s="32"/>
      <c r="E161" s="32"/>
      <c r="F161" s="31"/>
      <c r="G161" s="32"/>
      <c r="H161" s="32"/>
      <c r="I161" s="32"/>
      <c r="J161" s="32"/>
      <c r="K161" s="32"/>
      <c r="L161" s="32"/>
      <c r="M161" s="32"/>
      <c r="N161" s="32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20"/>
      <c r="AM161" s="20"/>
    </row>
    <row r="162" spans="1:39" x14ac:dyDescent="0.25">
      <c r="A162" s="20"/>
      <c r="B162" s="32"/>
      <c r="C162" s="32"/>
      <c r="D162" s="32"/>
      <c r="E162" s="32"/>
      <c r="F162" s="31"/>
      <c r="G162" s="32"/>
      <c r="H162" s="32"/>
      <c r="I162" s="32"/>
      <c r="J162" s="32"/>
      <c r="K162" s="32"/>
      <c r="L162" s="32"/>
      <c r="M162" s="32"/>
      <c r="N162" s="32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20"/>
      <c r="AM162" s="20"/>
    </row>
    <row r="163" spans="1:39" x14ac:dyDescent="0.25">
      <c r="A163" s="20"/>
      <c r="B163" s="32"/>
      <c r="C163" s="32"/>
      <c r="D163" s="32"/>
      <c r="E163" s="32"/>
      <c r="F163" s="31"/>
      <c r="G163" s="32"/>
      <c r="H163" s="32"/>
      <c r="I163" s="32"/>
      <c r="J163" s="32"/>
      <c r="K163" s="32"/>
      <c r="L163" s="32"/>
      <c r="M163" s="32"/>
      <c r="N163" s="32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  <c r="AM163" s="20"/>
    </row>
    <row r="164" spans="1:39" x14ac:dyDescent="0.25">
      <c r="A164" s="20"/>
      <c r="B164" s="32"/>
      <c r="C164" s="32"/>
      <c r="D164" s="32"/>
      <c r="E164" s="32"/>
      <c r="F164" s="31"/>
      <c r="G164" s="32"/>
      <c r="H164" s="32"/>
      <c r="I164" s="32"/>
      <c r="J164" s="32"/>
      <c r="K164" s="32"/>
      <c r="L164" s="32"/>
      <c r="M164" s="32"/>
      <c r="N164" s="32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20"/>
      <c r="AM164" s="20"/>
    </row>
    <row r="165" spans="1:39" x14ac:dyDescent="0.25">
      <c r="A165" s="20"/>
      <c r="B165" s="32"/>
      <c r="C165" s="32"/>
      <c r="D165" s="32"/>
      <c r="E165" s="32"/>
      <c r="F165" s="31"/>
      <c r="G165" s="32"/>
      <c r="H165" s="32"/>
      <c r="I165" s="32"/>
      <c r="J165" s="32"/>
      <c r="K165" s="32"/>
      <c r="L165" s="32"/>
      <c r="M165" s="32"/>
      <c r="N165" s="32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20"/>
      <c r="AM165" s="20"/>
    </row>
    <row r="166" spans="1:39" x14ac:dyDescent="0.25">
      <c r="A166" s="20"/>
      <c r="B166" s="32"/>
      <c r="C166" s="32"/>
      <c r="D166" s="32"/>
      <c r="E166" s="32"/>
      <c r="F166" s="31"/>
      <c r="G166" s="32"/>
      <c r="H166" s="32"/>
      <c r="I166" s="32"/>
      <c r="J166" s="32"/>
      <c r="K166" s="32"/>
      <c r="L166" s="32"/>
      <c r="M166" s="32"/>
      <c r="N166" s="32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20"/>
      <c r="AM166" s="20"/>
    </row>
    <row r="167" spans="1:39" x14ac:dyDescent="0.25">
      <c r="A167" s="20"/>
      <c r="B167" s="32"/>
      <c r="C167" s="32"/>
      <c r="D167" s="32"/>
      <c r="E167" s="32"/>
      <c r="F167" s="31"/>
      <c r="G167" s="32"/>
      <c r="H167" s="32"/>
      <c r="I167" s="32"/>
      <c r="J167" s="32"/>
      <c r="K167" s="32"/>
      <c r="L167" s="32"/>
      <c r="M167" s="32"/>
      <c r="N167" s="32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20"/>
      <c r="AM167" s="20"/>
    </row>
    <row r="168" spans="1:39" x14ac:dyDescent="0.25">
      <c r="A168" s="20"/>
      <c r="B168" s="32"/>
      <c r="C168" s="32"/>
      <c r="D168" s="32"/>
      <c r="E168" s="32"/>
      <c r="F168" s="31"/>
      <c r="G168" s="32"/>
      <c r="H168" s="32"/>
      <c r="I168" s="32"/>
      <c r="J168" s="32"/>
      <c r="K168" s="32"/>
      <c r="L168" s="32"/>
      <c r="M168" s="32"/>
      <c r="N168" s="32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20"/>
      <c r="AM168" s="20"/>
    </row>
    <row r="169" spans="1:39" x14ac:dyDescent="0.25">
      <c r="A169" s="20"/>
      <c r="B169" s="32"/>
      <c r="C169" s="32"/>
      <c r="D169" s="32"/>
      <c r="E169" s="32"/>
      <c r="F169" s="31"/>
      <c r="G169" s="32"/>
      <c r="H169" s="32"/>
      <c r="I169" s="32"/>
      <c r="J169" s="32"/>
      <c r="K169" s="32"/>
      <c r="L169" s="32"/>
      <c r="M169" s="32"/>
      <c r="N169" s="32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20"/>
      <c r="AM169" s="20"/>
    </row>
    <row r="170" spans="1:39" x14ac:dyDescent="0.25">
      <c r="A170" s="20"/>
      <c r="B170" s="32"/>
      <c r="C170" s="32"/>
      <c r="D170" s="32"/>
      <c r="E170" s="32"/>
      <c r="F170" s="31"/>
      <c r="G170" s="32"/>
      <c r="H170" s="32"/>
      <c r="I170" s="32"/>
      <c r="J170" s="32"/>
      <c r="K170" s="32"/>
      <c r="L170" s="32"/>
      <c r="M170" s="32"/>
      <c r="N170" s="32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20"/>
      <c r="AM170" s="20"/>
    </row>
    <row r="171" spans="1:39" x14ac:dyDescent="0.25">
      <c r="A171" s="20"/>
      <c r="B171" s="32"/>
      <c r="C171" s="32"/>
      <c r="D171" s="32"/>
      <c r="E171" s="32"/>
      <c r="F171" s="31"/>
      <c r="G171" s="32"/>
      <c r="H171" s="32"/>
      <c r="I171" s="32"/>
      <c r="J171" s="32"/>
      <c r="K171" s="32"/>
      <c r="L171" s="32"/>
      <c r="M171" s="32"/>
      <c r="N171" s="32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20"/>
      <c r="AM171" s="20"/>
    </row>
    <row r="172" spans="1:39" x14ac:dyDescent="0.25">
      <c r="A172" s="20"/>
      <c r="B172" s="32"/>
      <c r="C172" s="32"/>
      <c r="D172" s="32"/>
      <c r="E172" s="32"/>
      <c r="F172" s="31"/>
      <c r="G172" s="32"/>
      <c r="H172" s="32"/>
      <c r="I172" s="32"/>
      <c r="J172" s="32"/>
      <c r="K172" s="32"/>
      <c r="L172" s="32"/>
      <c r="M172" s="32"/>
      <c r="N172" s="32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20"/>
      <c r="AM172" s="20"/>
    </row>
    <row r="173" spans="1:39" x14ac:dyDescent="0.25">
      <c r="A173" s="20"/>
      <c r="B173" s="32"/>
      <c r="C173" s="32"/>
      <c r="D173" s="32"/>
      <c r="E173" s="32"/>
      <c r="F173" s="31"/>
      <c r="G173" s="32"/>
      <c r="H173" s="32"/>
      <c r="I173" s="32"/>
      <c r="J173" s="32"/>
      <c r="K173" s="32"/>
      <c r="L173" s="32"/>
      <c r="M173" s="32"/>
      <c r="N173" s="32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20"/>
      <c r="AM173" s="20"/>
    </row>
    <row r="174" spans="1:39" x14ac:dyDescent="0.25">
      <c r="A174" s="20"/>
      <c r="B174" s="32"/>
      <c r="C174" s="32"/>
      <c r="D174" s="32"/>
      <c r="E174" s="32"/>
      <c r="F174" s="31"/>
      <c r="G174" s="32"/>
      <c r="H174" s="32"/>
      <c r="I174" s="32"/>
      <c r="J174" s="32"/>
      <c r="K174" s="32"/>
      <c r="L174" s="32"/>
      <c r="M174" s="32"/>
      <c r="N174" s="32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20"/>
      <c r="AM174" s="20"/>
    </row>
    <row r="175" spans="1:39" x14ac:dyDescent="0.25">
      <c r="A175" s="20"/>
      <c r="B175" s="32"/>
      <c r="C175" s="32"/>
      <c r="D175" s="32"/>
      <c r="E175" s="32"/>
      <c r="F175" s="31"/>
      <c r="G175" s="32"/>
      <c r="H175" s="32"/>
      <c r="I175" s="32"/>
      <c r="J175" s="32"/>
      <c r="K175" s="32"/>
      <c r="L175" s="32"/>
      <c r="M175" s="32"/>
      <c r="N175" s="32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  <c r="AL175" s="20"/>
      <c r="AM175" s="20"/>
    </row>
    <row r="176" spans="1:39" x14ac:dyDescent="0.25">
      <c r="A176" s="20"/>
      <c r="B176" s="32"/>
      <c r="C176" s="32"/>
      <c r="D176" s="32"/>
      <c r="E176" s="32"/>
      <c r="F176" s="31"/>
      <c r="G176" s="32"/>
      <c r="H176" s="32"/>
      <c r="I176" s="32"/>
      <c r="J176" s="32"/>
      <c r="K176" s="32"/>
      <c r="L176" s="32"/>
      <c r="M176" s="32"/>
      <c r="N176" s="32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  <c r="AL176" s="20"/>
      <c r="AM176" s="20"/>
    </row>
    <row r="177" spans="1:39" x14ac:dyDescent="0.25">
      <c r="A177" s="20"/>
      <c r="B177" s="32"/>
      <c r="C177" s="32"/>
      <c r="D177" s="32"/>
      <c r="E177" s="32"/>
      <c r="F177" s="31"/>
      <c r="G177" s="32"/>
      <c r="H177" s="32"/>
      <c r="I177" s="32"/>
      <c r="J177" s="32"/>
      <c r="K177" s="32"/>
      <c r="L177" s="32"/>
      <c r="M177" s="32"/>
      <c r="N177" s="32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  <c r="AL177" s="20"/>
      <c r="AM177" s="20"/>
    </row>
    <row r="178" spans="1:39" x14ac:dyDescent="0.25">
      <c r="A178" s="20"/>
      <c r="B178" s="32"/>
      <c r="C178" s="32"/>
      <c r="D178" s="32"/>
      <c r="E178" s="32"/>
      <c r="F178" s="31"/>
      <c r="G178" s="32"/>
      <c r="H178" s="32"/>
      <c r="I178" s="32"/>
      <c r="J178" s="32"/>
      <c r="K178" s="32"/>
      <c r="L178" s="32"/>
      <c r="M178" s="32"/>
      <c r="N178" s="32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  <c r="AL178" s="20"/>
      <c r="AM178" s="20"/>
    </row>
    <row r="179" spans="1:39" x14ac:dyDescent="0.25">
      <c r="A179" s="20"/>
      <c r="B179" s="32"/>
      <c r="C179" s="32"/>
      <c r="D179" s="32"/>
      <c r="E179" s="32"/>
      <c r="F179" s="31"/>
      <c r="G179" s="32"/>
      <c r="H179" s="32"/>
      <c r="I179" s="32"/>
      <c r="J179" s="32"/>
      <c r="K179" s="32"/>
      <c r="L179" s="32"/>
      <c r="M179" s="32"/>
      <c r="N179" s="32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  <c r="AL179" s="20"/>
      <c r="AM179" s="20"/>
    </row>
    <row r="180" spans="1:39" x14ac:dyDescent="0.25">
      <c r="A180" s="20"/>
      <c r="B180" s="32"/>
      <c r="C180" s="32"/>
      <c r="D180" s="32"/>
      <c r="E180" s="32"/>
      <c r="F180" s="31"/>
      <c r="G180" s="32"/>
      <c r="H180" s="32"/>
      <c r="I180" s="32"/>
      <c r="J180" s="32"/>
      <c r="K180" s="32"/>
      <c r="L180" s="32"/>
      <c r="M180" s="32"/>
      <c r="N180" s="32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  <c r="AL180" s="20"/>
      <c r="AM180" s="20"/>
    </row>
    <row r="181" spans="1:39" x14ac:dyDescent="0.25">
      <c r="A181" s="20"/>
      <c r="B181" s="32"/>
      <c r="C181" s="32"/>
      <c r="D181" s="32"/>
      <c r="E181" s="32"/>
      <c r="F181" s="31"/>
      <c r="G181" s="32"/>
      <c r="H181" s="32"/>
      <c r="I181" s="32"/>
      <c r="J181" s="32"/>
      <c r="K181" s="32"/>
      <c r="L181" s="32"/>
      <c r="M181" s="32"/>
      <c r="N181" s="32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  <c r="AL181" s="20"/>
      <c r="AM181" s="20"/>
    </row>
    <row r="182" spans="1:39" x14ac:dyDescent="0.25">
      <c r="A182" s="20"/>
      <c r="B182" s="32"/>
      <c r="C182" s="32"/>
      <c r="D182" s="32"/>
      <c r="E182" s="32"/>
      <c r="F182" s="31"/>
      <c r="G182" s="32"/>
      <c r="H182" s="32"/>
      <c r="I182" s="32"/>
      <c r="J182" s="32"/>
      <c r="K182" s="32"/>
      <c r="L182" s="32"/>
      <c r="M182" s="32"/>
      <c r="N182" s="32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  <c r="AL182" s="20"/>
      <c r="AM182" s="20"/>
    </row>
    <row r="183" spans="1:39" x14ac:dyDescent="0.25">
      <c r="A183" s="20"/>
      <c r="B183" s="32"/>
      <c r="C183" s="32"/>
      <c r="D183" s="32"/>
      <c r="E183" s="32"/>
      <c r="F183" s="31"/>
      <c r="G183" s="32"/>
      <c r="H183" s="32"/>
      <c r="I183" s="32"/>
      <c r="J183" s="32"/>
      <c r="K183" s="32"/>
      <c r="L183" s="32"/>
      <c r="M183" s="32"/>
      <c r="N183" s="32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20"/>
      <c r="AI183" s="20"/>
      <c r="AJ183" s="20"/>
      <c r="AK183" s="20"/>
      <c r="AL183" s="20"/>
      <c r="AM183" s="20"/>
    </row>
    <row r="184" spans="1:39" x14ac:dyDescent="0.25">
      <c r="A184" s="20"/>
      <c r="B184" s="32"/>
      <c r="C184" s="32"/>
      <c r="D184" s="32"/>
      <c r="E184" s="32"/>
      <c r="F184" s="31"/>
      <c r="G184" s="32"/>
      <c r="H184" s="32"/>
      <c r="I184" s="32"/>
      <c r="J184" s="32"/>
      <c r="K184" s="32"/>
      <c r="L184" s="32"/>
      <c r="M184" s="32"/>
      <c r="N184" s="32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20"/>
      <c r="AI184" s="20"/>
      <c r="AJ184" s="20"/>
      <c r="AK184" s="20"/>
      <c r="AL184" s="20"/>
      <c r="AM184" s="20"/>
    </row>
    <row r="185" spans="1:39" x14ac:dyDescent="0.25">
      <c r="A185" s="20"/>
      <c r="B185" s="32"/>
      <c r="C185" s="32"/>
      <c r="D185" s="32"/>
      <c r="E185" s="32"/>
      <c r="F185" s="31"/>
      <c r="G185" s="32"/>
      <c r="H185" s="32"/>
      <c r="I185" s="32"/>
      <c r="J185" s="32"/>
      <c r="K185" s="32"/>
      <c r="L185" s="32"/>
      <c r="M185" s="32"/>
      <c r="N185" s="32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20"/>
      <c r="AI185" s="20"/>
      <c r="AJ185" s="20"/>
      <c r="AK185" s="20"/>
      <c r="AL185" s="20"/>
      <c r="AM185" s="20"/>
    </row>
    <row r="186" spans="1:39" x14ac:dyDescent="0.25">
      <c r="A186" s="20"/>
      <c r="B186" s="32"/>
      <c r="C186" s="32"/>
      <c r="D186" s="32"/>
      <c r="E186" s="32"/>
      <c r="F186" s="31"/>
      <c r="G186" s="32"/>
      <c r="H186" s="32"/>
      <c r="I186" s="32"/>
      <c r="J186" s="32"/>
      <c r="K186" s="32"/>
      <c r="L186" s="32"/>
      <c r="M186" s="32"/>
      <c r="N186" s="32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20"/>
      <c r="AI186" s="20"/>
      <c r="AJ186" s="20"/>
      <c r="AK186" s="20"/>
      <c r="AL186" s="20"/>
      <c r="AM186" s="20"/>
    </row>
    <row r="187" spans="1:39" x14ac:dyDescent="0.25">
      <c r="A187" s="20"/>
      <c r="B187" s="32"/>
      <c r="C187" s="32"/>
      <c r="D187" s="32"/>
      <c r="E187" s="32"/>
      <c r="F187" s="31"/>
      <c r="G187" s="32"/>
      <c r="H187" s="32"/>
      <c r="I187" s="32"/>
      <c r="J187" s="32"/>
      <c r="K187" s="32"/>
      <c r="L187" s="32"/>
      <c r="M187" s="32"/>
      <c r="N187" s="32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20"/>
      <c r="AI187" s="20"/>
      <c r="AJ187" s="20"/>
      <c r="AK187" s="20"/>
      <c r="AL187" s="20"/>
      <c r="AM187" s="20"/>
    </row>
    <row r="188" spans="1:39" x14ac:dyDescent="0.25">
      <c r="A188" s="20"/>
      <c r="B188" s="32"/>
      <c r="C188" s="32"/>
      <c r="D188" s="32"/>
      <c r="E188" s="32"/>
      <c r="F188" s="31"/>
      <c r="G188" s="32"/>
      <c r="H188" s="32"/>
      <c r="I188" s="32"/>
      <c r="J188" s="32"/>
      <c r="K188" s="32"/>
      <c r="L188" s="32"/>
      <c r="M188" s="32"/>
      <c r="N188" s="32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20"/>
      <c r="AI188" s="20"/>
      <c r="AJ188" s="20"/>
      <c r="AK188" s="20"/>
      <c r="AL188" s="20"/>
      <c r="AM188" s="20"/>
    </row>
    <row r="189" spans="1:39" x14ac:dyDescent="0.25">
      <c r="A189" s="20"/>
      <c r="B189" s="32"/>
      <c r="C189" s="32"/>
      <c r="D189" s="32"/>
      <c r="E189" s="32"/>
      <c r="F189" s="31"/>
      <c r="G189" s="32"/>
      <c r="H189" s="32"/>
      <c r="I189" s="32"/>
      <c r="J189" s="32"/>
      <c r="K189" s="32"/>
      <c r="L189" s="32"/>
      <c r="M189" s="32"/>
      <c r="N189" s="32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20"/>
      <c r="AI189" s="20"/>
      <c r="AJ189" s="20"/>
      <c r="AK189" s="20"/>
      <c r="AL189" s="20"/>
      <c r="AM189" s="20"/>
    </row>
    <row r="190" spans="1:39" x14ac:dyDescent="0.25">
      <c r="A190" s="20"/>
      <c r="B190" s="32"/>
      <c r="C190" s="32"/>
      <c r="D190" s="32"/>
      <c r="E190" s="32"/>
      <c r="F190" s="31"/>
      <c r="G190" s="32"/>
      <c r="H190" s="32"/>
      <c r="I190" s="32"/>
      <c r="J190" s="32"/>
      <c r="K190" s="32"/>
      <c r="L190" s="32"/>
      <c r="M190" s="32"/>
      <c r="N190" s="32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20"/>
      <c r="AI190" s="20"/>
      <c r="AJ190" s="20"/>
      <c r="AK190" s="20"/>
      <c r="AL190" s="20"/>
      <c r="AM190" s="20"/>
    </row>
    <row r="191" spans="1:39" x14ac:dyDescent="0.25">
      <c r="A191" s="20"/>
      <c r="B191" s="32"/>
      <c r="C191" s="32"/>
      <c r="D191" s="32"/>
      <c r="E191" s="32"/>
      <c r="F191" s="31"/>
      <c r="G191" s="32"/>
      <c r="H191" s="32"/>
      <c r="I191" s="32"/>
      <c r="J191" s="32"/>
      <c r="K191" s="32"/>
      <c r="L191" s="32"/>
      <c r="M191" s="32"/>
      <c r="N191" s="32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20"/>
      <c r="AI191" s="20"/>
      <c r="AJ191" s="20"/>
      <c r="AK191" s="20"/>
      <c r="AL191" s="20"/>
      <c r="AM191" s="20"/>
    </row>
    <row r="192" spans="1:39" x14ac:dyDescent="0.25">
      <c r="A192" s="20"/>
      <c r="B192" s="32"/>
      <c r="C192" s="32"/>
      <c r="D192" s="32"/>
      <c r="E192" s="32"/>
      <c r="F192" s="31"/>
      <c r="G192" s="32"/>
      <c r="H192" s="32"/>
      <c r="I192" s="32"/>
      <c r="J192" s="32"/>
      <c r="K192" s="32"/>
      <c r="L192" s="32"/>
      <c r="M192" s="32"/>
      <c r="N192" s="32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20"/>
      <c r="AI192" s="20"/>
      <c r="AJ192" s="20"/>
      <c r="AK192" s="20"/>
      <c r="AL192" s="20"/>
      <c r="AM192" s="20"/>
    </row>
    <row r="193" spans="1:39" x14ac:dyDescent="0.25">
      <c r="A193" s="20"/>
      <c r="B193" s="32"/>
      <c r="C193" s="32"/>
      <c r="D193" s="32"/>
      <c r="E193" s="32"/>
      <c r="F193" s="31"/>
      <c r="G193" s="32"/>
      <c r="H193" s="32"/>
      <c r="I193" s="32"/>
      <c r="J193" s="32"/>
      <c r="K193" s="32"/>
      <c r="L193" s="32"/>
      <c r="M193" s="32"/>
      <c r="N193" s="32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20"/>
      <c r="AI193" s="20"/>
      <c r="AJ193" s="20"/>
      <c r="AK193" s="20"/>
      <c r="AL193" s="20"/>
      <c r="AM193" s="20"/>
    </row>
    <row r="194" spans="1:39" x14ac:dyDescent="0.25">
      <c r="A194" s="20"/>
      <c r="B194" s="32"/>
      <c r="C194" s="32"/>
      <c r="D194" s="32"/>
      <c r="E194" s="32"/>
      <c r="F194" s="31"/>
      <c r="G194" s="32"/>
      <c r="H194" s="32"/>
      <c r="I194" s="32"/>
      <c r="J194" s="32"/>
      <c r="K194" s="32"/>
      <c r="L194" s="32"/>
      <c r="M194" s="32"/>
      <c r="N194" s="32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20"/>
      <c r="AI194" s="20"/>
      <c r="AJ194" s="20"/>
      <c r="AK194" s="20"/>
      <c r="AL194" s="20"/>
      <c r="AM194" s="20"/>
    </row>
    <row r="195" spans="1:39" x14ac:dyDescent="0.25">
      <c r="A195" s="20"/>
      <c r="B195" s="32"/>
      <c r="C195" s="32"/>
      <c r="D195" s="32"/>
      <c r="E195" s="32"/>
      <c r="F195" s="31"/>
      <c r="G195" s="32"/>
      <c r="H195" s="32"/>
      <c r="I195" s="32"/>
      <c r="J195" s="32"/>
      <c r="K195" s="32"/>
      <c r="L195" s="32"/>
      <c r="M195" s="32"/>
      <c r="N195" s="32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20"/>
      <c r="AI195" s="20"/>
      <c r="AJ195" s="20"/>
      <c r="AK195" s="20"/>
      <c r="AL195" s="20"/>
      <c r="AM195" s="20"/>
    </row>
    <row r="196" spans="1:39" x14ac:dyDescent="0.25">
      <c r="A196" s="20"/>
      <c r="B196" s="32"/>
      <c r="C196" s="32"/>
      <c r="D196" s="32"/>
      <c r="E196" s="32"/>
      <c r="F196" s="31"/>
      <c r="G196" s="32"/>
      <c r="H196" s="32"/>
      <c r="I196" s="32"/>
      <c r="J196" s="32"/>
      <c r="K196" s="32"/>
      <c r="L196" s="32"/>
      <c r="M196" s="32"/>
      <c r="N196" s="32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20"/>
      <c r="AI196" s="20"/>
      <c r="AJ196" s="20"/>
      <c r="AK196" s="20"/>
      <c r="AL196" s="20"/>
      <c r="AM196" s="20"/>
    </row>
    <row r="197" spans="1:39" x14ac:dyDescent="0.25">
      <c r="A197" s="20"/>
      <c r="B197" s="32"/>
      <c r="C197" s="32"/>
      <c r="D197" s="32"/>
      <c r="E197" s="32"/>
      <c r="F197" s="31"/>
      <c r="G197" s="32"/>
      <c r="H197" s="32"/>
      <c r="I197" s="32"/>
      <c r="J197" s="32"/>
      <c r="K197" s="32"/>
      <c r="L197" s="32"/>
      <c r="M197" s="32"/>
      <c r="N197" s="32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20"/>
      <c r="AI197" s="20"/>
      <c r="AJ197" s="20"/>
      <c r="AK197" s="20"/>
      <c r="AL197" s="20"/>
      <c r="AM197" s="20"/>
    </row>
    <row r="198" spans="1:39" x14ac:dyDescent="0.25">
      <c r="A198" s="20"/>
      <c r="B198" s="32"/>
      <c r="C198" s="32"/>
      <c r="D198" s="32"/>
      <c r="E198" s="32"/>
      <c r="F198" s="31"/>
      <c r="G198" s="32"/>
      <c r="H198" s="32"/>
      <c r="I198" s="32"/>
      <c r="J198" s="32"/>
      <c r="K198" s="32"/>
      <c r="L198" s="32"/>
      <c r="M198" s="32"/>
      <c r="N198" s="32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20"/>
      <c r="AI198" s="20"/>
      <c r="AJ198" s="20"/>
      <c r="AK198" s="20"/>
      <c r="AL198" s="20"/>
      <c r="AM198" s="20"/>
    </row>
    <row r="199" spans="1:39" x14ac:dyDescent="0.25">
      <c r="A199" s="20"/>
      <c r="B199" s="32"/>
      <c r="C199" s="32"/>
      <c r="D199" s="32"/>
      <c r="E199" s="32"/>
      <c r="F199" s="31"/>
      <c r="G199" s="32"/>
      <c r="H199" s="32"/>
      <c r="I199" s="32"/>
      <c r="J199" s="32"/>
      <c r="K199" s="32"/>
      <c r="L199" s="32"/>
      <c r="M199" s="32"/>
      <c r="N199" s="32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20"/>
      <c r="AI199" s="20"/>
      <c r="AJ199" s="20"/>
      <c r="AK199" s="20"/>
      <c r="AL199" s="20"/>
      <c r="AM199" s="20"/>
    </row>
    <row r="200" spans="1:39" x14ac:dyDescent="0.25">
      <c r="A200" s="20"/>
      <c r="B200" s="32"/>
      <c r="C200" s="32"/>
      <c r="D200" s="32"/>
      <c r="E200" s="32"/>
      <c r="F200" s="31"/>
      <c r="G200" s="32"/>
      <c r="H200" s="32"/>
      <c r="I200" s="32"/>
      <c r="J200" s="32"/>
      <c r="K200" s="32"/>
      <c r="L200" s="32"/>
      <c r="M200" s="32"/>
      <c r="N200" s="32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20"/>
      <c r="AI200" s="20"/>
      <c r="AJ200" s="20"/>
      <c r="AK200" s="20"/>
      <c r="AL200" s="20"/>
      <c r="AM200" s="20"/>
    </row>
    <row r="201" spans="1:39" x14ac:dyDescent="0.25">
      <c r="A201" s="20"/>
      <c r="B201" s="32"/>
      <c r="C201" s="32"/>
      <c r="D201" s="32"/>
      <c r="E201" s="32"/>
      <c r="F201" s="31"/>
      <c r="G201" s="32"/>
      <c r="H201" s="32"/>
      <c r="I201" s="32"/>
      <c r="J201" s="32"/>
      <c r="K201" s="32"/>
      <c r="L201" s="32"/>
      <c r="M201" s="32"/>
      <c r="N201" s="32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20"/>
      <c r="AI201" s="20"/>
      <c r="AJ201" s="20"/>
      <c r="AK201" s="20"/>
      <c r="AL201" s="20"/>
      <c r="AM201" s="20"/>
    </row>
    <row r="202" spans="1:39" x14ac:dyDescent="0.25">
      <c r="A202" s="20"/>
      <c r="B202" s="32"/>
      <c r="C202" s="32"/>
      <c r="D202" s="32"/>
      <c r="E202" s="32"/>
      <c r="F202" s="31"/>
      <c r="G202" s="32"/>
      <c r="H202" s="32"/>
      <c r="I202" s="32"/>
      <c r="J202" s="32"/>
      <c r="K202" s="32"/>
      <c r="L202" s="32"/>
      <c r="M202" s="32"/>
      <c r="N202" s="32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20"/>
      <c r="AI202" s="20"/>
      <c r="AJ202" s="20"/>
      <c r="AK202" s="20"/>
      <c r="AL202" s="20"/>
      <c r="AM202" s="20"/>
    </row>
    <row r="203" spans="1:39" x14ac:dyDescent="0.25">
      <c r="A203" s="20"/>
      <c r="B203" s="32"/>
      <c r="C203" s="32"/>
      <c r="D203" s="32"/>
      <c r="E203" s="32"/>
      <c r="F203" s="31"/>
      <c r="G203" s="32"/>
      <c r="H203" s="32"/>
      <c r="I203" s="32"/>
      <c r="J203" s="32"/>
      <c r="K203" s="32"/>
      <c r="L203" s="32"/>
      <c r="M203" s="32"/>
      <c r="N203" s="32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20"/>
      <c r="AI203" s="20"/>
      <c r="AJ203" s="20"/>
      <c r="AK203" s="20"/>
      <c r="AL203" s="20"/>
      <c r="AM203" s="20"/>
    </row>
    <row r="204" spans="1:39" x14ac:dyDescent="0.25">
      <c r="A204" s="20"/>
      <c r="B204" s="32"/>
      <c r="C204" s="32"/>
      <c r="D204" s="32"/>
      <c r="E204" s="32"/>
      <c r="F204" s="31"/>
      <c r="G204" s="32"/>
      <c r="H204" s="32"/>
      <c r="I204" s="32"/>
      <c r="J204" s="32"/>
      <c r="K204" s="32"/>
      <c r="L204" s="32"/>
      <c r="M204" s="32"/>
      <c r="N204" s="32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20"/>
      <c r="AI204" s="20"/>
      <c r="AJ204" s="20"/>
      <c r="AK204" s="20"/>
      <c r="AL204" s="20"/>
      <c r="AM204" s="20"/>
    </row>
    <row r="205" spans="1:39" x14ac:dyDescent="0.25">
      <c r="A205" s="20"/>
      <c r="B205" s="32"/>
      <c r="C205" s="32"/>
      <c r="D205" s="32"/>
      <c r="E205" s="32"/>
      <c r="F205" s="31"/>
      <c r="G205" s="32"/>
      <c r="H205" s="32"/>
      <c r="I205" s="32"/>
      <c r="J205" s="32"/>
      <c r="K205" s="32"/>
      <c r="L205" s="32"/>
      <c r="M205" s="32"/>
      <c r="N205" s="32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20"/>
      <c r="AI205" s="20"/>
      <c r="AJ205" s="20"/>
      <c r="AK205" s="20"/>
      <c r="AL205" s="20"/>
      <c r="AM205" s="20"/>
    </row>
    <row r="206" spans="1:39" x14ac:dyDescent="0.25">
      <c r="A206" s="20"/>
      <c r="B206" s="32"/>
      <c r="C206" s="32"/>
      <c r="D206" s="32"/>
      <c r="E206" s="32"/>
      <c r="F206" s="31"/>
      <c r="G206" s="32"/>
      <c r="H206" s="32"/>
      <c r="I206" s="32"/>
      <c r="J206" s="32"/>
      <c r="K206" s="32"/>
      <c r="L206" s="32"/>
      <c r="M206" s="32"/>
      <c r="N206" s="32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20"/>
      <c r="AI206" s="20"/>
      <c r="AJ206" s="20"/>
      <c r="AK206" s="20"/>
      <c r="AL206" s="20"/>
      <c r="AM206" s="20"/>
    </row>
    <row r="207" spans="1:39" x14ac:dyDescent="0.25">
      <c r="A207" s="20"/>
      <c r="B207" s="32"/>
      <c r="C207" s="32"/>
      <c r="D207" s="32"/>
      <c r="E207" s="32"/>
      <c r="F207" s="31"/>
      <c r="G207" s="32"/>
      <c r="H207" s="32"/>
      <c r="I207" s="32"/>
      <c r="J207" s="32"/>
      <c r="K207" s="32"/>
      <c r="L207" s="32"/>
      <c r="M207" s="32"/>
      <c r="N207" s="32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20"/>
      <c r="AI207" s="20"/>
      <c r="AJ207" s="20"/>
      <c r="AK207" s="20"/>
      <c r="AL207" s="20"/>
      <c r="AM207" s="20"/>
    </row>
    <row r="208" spans="1:39" x14ac:dyDescent="0.25">
      <c r="A208" s="20"/>
      <c r="B208" s="32"/>
      <c r="C208" s="32"/>
      <c r="D208" s="32"/>
      <c r="E208" s="32"/>
      <c r="F208" s="31"/>
      <c r="G208" s="32"/>
      <c r="H208" s="32"/>
      <c r="I208" s="32"/>
      <c r="J208" s="32"/>
      <c r="K208" s="32"/>
      <c r="L208" s="32"/>
      <c r="M208" s="32"/>
      <c r="N208" s="32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20"/>
      <c r="AI208" s="20"/>
      <c r="AJ208" s="20"/>
      <c r="AK208" s="20"/>
      <c r="AL208" s="20"/>
      <c r="AM208" s="20"/>
    </row>
    <row r="209" spans="1:39" x14ac:dyDescent="0.25">
      <c r="A209" s="20"/>
      <c r="B209" s="32"/>
      <c r="C209" s="32"/>
      <c r="D209" s="32"/>
      <c r="E209" s="32"/>
      <c r="F209" s="31"/>
      <c r="G209" s="32"/>
      <c r="H209" s="32"/>
      <c r="I209" s="32"/>
      <c r="J209" s="32"/>
      <c r="K209" s="32"/>
      <c r="L209" s="32"/>
      <c r="M209" s="32"/>
      <c r="N209" s="32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20"/>
      <c r="AI209" s="20"/>
      <c r="AJ209" s="20"/>
      <c r="AK209" s="20"/>
      <c r="AL209" s="20"/>
      <c r="AM209" s="20"/>
    </row>
    <row r="210" spans="1:39" x14ac:dyDescent="0.25">
      <c r="A210" s="20"/>
      <c r="B210" s="32"/>
      <c r="C210" s="32"/>
      <c r="D210" s="32"/>
      <c r="E210" s="32"/>
      <c r="F210" s="31"/>
      <c r="G210" s="32"/>
      <c r="H210" s="32"/>
      <c r="I210" s="32"/>
      <c r="J210" s="32"/>
      <c r="K210" s="32"/>
      <c r="L210" s="32"/>
      <c r="M210" s="32"/>
      <c r="N210" s="32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20"/>
      <c r="AI210" s="20"/>
      <c r="AJ210" s="20"/>
      <c r="AK210" s="20"/>
      <c r="AL210" s="20"/>
      <c r="AM210" s="20"/>
    </row>
    <row r="211" spans="1:39" x14ac:dyDescent="0.25">
      <c r="A211" s="20"/>
      <c r="B211" s="32"/>
      <c r="C211" s="32"/>
      <c r="D211" s="32"/>
      <c r="E211" s="32"/>
      <c r="F211" s="31"/>
      <c r="G211" s="32"/>
      <c r="H211" s="32"/>
      <c r="I211" s="32"/>
      <c r="J211" s="32"/>
      <c r="K211" s="32"/>
      <c r="L211" s="32"/>
      <c r="M211" s="32"/>
      <c r="N211" s="32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20"/>
      <c r="AI211" s="20"/>
      <c r="AJ211" s="20"/>
      <c r="AK211" s="20"/>
      <c r="AL211" s="20"/>
      <c r="AM211" s="20"/>
    </row>
    <row r="212" spans="1:39" x14ac:dyDescent="0.25">
      <c r="A212" s="20"/>
      <c r="B212" s="32"/>
      <c r="C212" s="32"/>
      <c r="D212" s="32"/>
      <c r="E212" s="32"/>
      <c r="F212" s="31"/>
      <c r="G212" s="32"/>
      <c r="H212" s="32"/>
      <c r="I212" s="32"/>
      <c r="J212" s="32"/>
      <c r="K212" s="32"/>
      <c r="L212" s="32"/>
      <c r="M212" s="32"/>
      <c r="N212" s="32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20"/>
      <c r="AI212" s="20"/>
      <c r="AJ212" s="20"/>
      <c r="AK212" s="20"/>
      <c r="AL212" s="20"/>
      <c r="AM212" s="20"/>
    </row>
    <row r="213" spans="1:39" x14ac:dyDescent="0.25">
      <c r="A213" s="20"/>
      <c r="B213" s="32"/>
      <c r="C213" s="32"/>
      <c r="D213" s="32"/>
      <c r="E213" s="32"/>
      <c r="F213" s="31"/>
      <c r="G213" s="32"/>
      <c r="H213" s="32"/>
      <c r="I213" s="32"/>
      <c r="J213" s="32"/>
      <c r="K213" s="32"/>
      <c r="L213" s="32"/>
      <c r="M213" s="32"/>
      <c r="N213" s="32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20"/>
      <c r="AI213" s="20"/>
      <c r="AJ213" s="20"/>
      <c r="AK213" s="20"/>
      <c r="AL213" s="20"/>
      <c r="AM213" s="20"/>
    </row>
    <row r="214" spans="1:39" x14ac:dyDescent="0.25">
      <c r="A214" s="20"/>
      <c r="B214" s="32"/>
      <c r="C214" s="32"/>
      <c r="D214" s="32"/>
      <c r="E214" s="32"/>
      <c r="F214" s="31"/>
      <c r="G214" s="32"/>
      <c r="H214" s="32"/>
      <c r="I214" s="32"/>
      <c r="J214" s="32"/>
      <c r="K214" s="32"/>
      <c r="L214" s="32"/>
      <c r="M214" s="32"/>
      <c r="N214" s="32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20"/>
      <c r="AI214" s="20"/>
      <c r="AJ214" s="20"/>
      <c r="AK214" s="20"/>
      <c r="AL214" s="20"/>
      <c r="AM214" s="20"/>
    </row>
    <row r="215" spans="1:39" x14ac:dyDescent="0.25">
      <c r="A215" s="20"/>
      <c r="B215" s="32"/>
      <c r="C215" s="32"/>
      <c r="D215" s="32"/>
      <c r="E215" s="32"/>
      <c r="F215" s="31"/>
      <c r="G215" s="32"/>
      <c r="H215" s="32"/>
      <c r="I215" s="32"/>
      <c r="J215" s="32"/>
      <c r="K215" s="32"/>
      <c r="L215" s="32"/>
      <c r="M215" s="32"/>
      <c r="N215" s="32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  <c r="AL215" s="20"/>
      <c r="AM215" s="20"/>
    </row>
    <row r="216" spans="1:39" x14ac:dyDescent="0.25">
      <c r="A216" s="20"/>
      <c r="B216" s="32"/>
      <c r="C216" s="32"/>
      <c r="D216" s="32"/>
      <c r="E216" s="32"/>
      <c r="F216" s="31"/>
      <c r="G216" s="32"/>
      <c r="H216" s="32"/>
      <c r="I216" s="32"/>
      <c r="J216" s="32"/>
      <c r="K216" s="32"/>
      <c r="L216" s="32"/>
      <c r="M216" s="32"/>
      <c r="N216" s="32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20"/>
      <c r="AI216" s="20"/>
      <c r="AJ216" s="20"/>
      <c r="AK216" s="20"/>
      <c r="AL216" s="20"/>
      <c r="AM216" s="20"/>
    </row>
    <row r="217" spans="1:39" x14ac:dyDescent="0.25">
      <c r="A217" s="20"/>
      <c r="B217" s="32"/>
      <c r="C217" s="32"/>
      <c r="D217" s="32"/>
      <c r="E217" s="32"/>
      <c r="F217" s="31"/>
      <c r="G217" s="32"/>
      <c r="H217" s="32"/>
      <c r="I217" s="32"/>
      <c r="J217" s="32"/>
      <c r="K217" s="32"/>
      <c r="L217" s="32"/>
      <c r="M217" s="32"/>
      <c r="N217" s="32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20"/>
      <c r="AI217" s="20"/>
      <c r="AJ217" s="20"/>
      <c r="AK217" s="20"/>
      <c r="AL217" s="20"/>
      <c r="AM217" s="20"/>
    </row>
    <row r="218" spans="1:39" x14ac:dyDescent="0.25">
      <c r="A218" s="20"/>
      <c r="B218" s="32"/>
      <c r="C218" s="32"/>
      <c r="D218" s="32"/>
      <c r="E218" s="32"/>
      <c r="F218" s="31"/>
      <c r="G218" s="32"/>
      <c r="H218" s="32"/>
      <c r="I218" s="32"/>
      <c r="J218" s="32"/>
      <c r="K218" s="32"/>
      <c r="L218" s="32"/>
      <c r="M218" s="32"/>
      <c r="N218" s="32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20"/>
      <c r="AI218" s="20"/>
      <c r="AJ218" s="20"/>
      <c r="AK218" s="20"/>
      <c r="AL218" s="20"/>
      <c r="AM218" s="20"/>
    </row>
    <row r="219" spans="1:39" x14ac:dyDescent="0.25">
      <c r="A219" s="20"/>
      <c r="B219" s="32"/>
      <c r="C219" s="32"/>
      <c r="D219" s="32"/>
      <c r="E219" s="32"/>
      <c r="F219" s="31"/>
      <c r="G219" s="32"/>
      <c r="H219" s="32"/>
      <c r="I219" s="32"/>
      <c r="J219" s="32"/>
      <c r="K219" s="32"/>
      <c r="L219" s="32"/>
      <c r="M219" s="32"/>
      <c r="N219" s="32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20"/>
      <c r="AI219" s="20"/>
      <c r="AJ219" s="20"/>
      <c r="AK219" s="20"/>
      <c r="AL219" s="20"/>
      <c r="AM219" s="20"/>
    </row>
    <row r="220" spans="1:39" x14ac:dyDescent="0.25">
      <c r="A220" s="20"/>
      <c r="B220" s="32"/>
      <c r="C220" s="32"/>
      <c r="D220" s="32"/>
      <c r="E220" s="32"/>
      <c r="F220" s="31"/>
      <c r="G220" s="32"/>
      <c r="H220" s="32"/>
      <c r="I220" s="32"/>
      <c r="J220" s="32"/>
      <c r="K220" s="32"/>
      <c r="L220" s="32"/>
      <c r="M220" s="32"/>
      <c r="N220" s="32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20"/>
      <c r="AI220" s="20"/>
      <c r="AJ220" s="20"/>
      <c r="AK220" s="20"/>
      <c r="AL220" s="20"/>
      <c r="AM220" s="20"/>
    </row>
    <row r="221" spans="1:39" x14ac:dyDescent="0.25">
      <c r="A221" s="20"/>
      <c r="B221" s="32"/>
      <c r="C221" s="32"/>
      <c r="D221" s="32"/>
      <c r="E221" s="32"/>
      <c r="F221" s="31"/>
      <c r="G221" s="32"/>
      <c r="H221" s="32"/>
      <c r="I221" s="32"/>
      <c r="J221" s="32"/>
      <c r="K221" s="32"/>
      <c r="L221" s="32"/>
      <c r="M221" s="32"/>
      <c r="N221" s="32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20"/>
      <c r="AI221" s="20"/>
      <c r="AJ221" s="20"/>
      <c r="AK221" s="20"/>
      <c r="AL221" s="20"/>
      <c r="AM221" s="20"/>
    </row>
    <row r="222" spans="1:39" x14ac:dyDescent="0.25">
      <c r="A222" s="20"/>
      <c r="B222" s="32"/>
      <c r="C222" s="32"/>
      <c r="D222" s="32"/>
      <c r="E222" s="32"/>
      <c r="F222" s="31"/>
      <c r="G222" s="32"/>
      <c r="H222" s="32"/>
      <c r="I222" s="32"/>
      <c r="J222" s="32"/>
      <c r="K222" s="32"/>
      <c r="L222" s="32"/>
      <c r="M222" s="32"/>
      <c r="N222" s="32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20"/>
      <c r="AI222" s="20"/>
      <c r="AJ222" s="20"/>
      <c r="AK222" s="20"/>
      <c r="AL222" s="20"/>
      <c r="AM222" s="20"/>
    </row>
    <row r="223" spans="1:39" x14ac:dyDescent="0.25">
      <c r="A223" s="20"/>
      <c r="B223" s="32"/>
      <c r="C223" s="32"/>
      <c r="D223" s="32"/>
      <c r="E223" s="32"/>
      <c r="F223" s="31"/>
      <c r="G223" s="32"/>
      <c r="H223" s="32"/>
      <c r="I223" s="32"/>
      <c r="J223" s="32"/>
      <c r="K223" s="32"/>
      <c r="L223" s="32"/>
      <c r="M223" s="32"/>
      <c r="N223" s="32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20"/>
      <c r="AI223" s="20"/>
      <c r="AJ223" s="20"/>
      <c r="AK223" s="20"/>
      <c r="AL223" s="20"/>
      <c r="AM223" s="20"/>
    </row>
    <row r="224" spans="1:39" x14ac:dyDescent="0.25">
      <c r="A224" s="20"/>
      <c r="B224" s="32"/>
      <c r="C224" s="32"/>
      <c r="D224" s="32"/>
      <c r="E224" s="32"/>
      <c r="F224" s="31"/>
      <c r="G224" s="32"/>
      <c r="H224" s="32"/>
      <c r="I224" s="32"/>
      <c r="J224" s="32"/>
      <c r="K224" s="32"/>
      <c r="L224" s="32"/>
      <c r="M224" s="32"/>
      <c r="N224" s="32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20"/>
      <c r="AI224" s="20"/>
      <c r="AJ224" s="20"/>
      <c r="AK224" s="20"/>
      <c r="AL224" s="20"/>
      <c r="AM224" s="20"/>
    </row>
    <row r="225" spans="1:39" x14ac:dyDescent="0.25">
      <c r="A225" s="20"/>
      <c r="B225" s="32"/>
      <c r="C225" s="32"/>
      <c r="D225" s="32"/>
      <c r="E225" s="32"/>
      <c r="F225" s="31"/>
      <c r="G225" s="32"/>
      <c r="H225" s="32"/>
      <c r="I225" s="32"/>
      <c r="J225" s="32"/>
      <c r="K225" s="32"/>
      <c r="L225" s="32"/>
      <c r="M225" s="32"/>
      <c r="N225" s="32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20"/>
      <c r="AI225" s="20"/>
      <c r="AJ225" s="20"/>
      <c r="AK225" s="20"/>
      <c r="AL225" s="20"/>
      <c r="AM225" s="20"/>
    </row>
    <row r="226" spans="1:39" x14ac:dyDescent="0.25">
      <c r="A226" s="20"/>
      <c r="B226" s="32"/>
      <c r="C226" s="32"/>
      <c r="D226" s="32"/>
      <c r="E226" s="32"/>
      <c r="F226" s="31"/>
      <c r="G226" s="32"/>
      <c r="H226" s="32"/>
      <c r="I226" s="32"/>
      <c r="J226" s="32"/>
      <c r="K226" s="32"/>
      <c r="L226" s="32"/>
      <c r="M226" s="32"/>
      <c r="N226" s="32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20"/>
      <c r="AI226" s="20"/>
      <c r="AJ226" s="20"/>
      <c r="AK226" s="20"/>
      <c r="AL226" s="20"/>
      <c r="AM226" s="20"/>
    </row>
    <row r="227" spans="1:39" x14ac:dyDescent="0.25">
      <c r="A227" s="20"/>
      <c r="B227" s="32"/>
      <c r="C227" s="32"/>
      <c r="D227" s="32"/>
      <c r="E227" s="32"/>
      <c r="F227" s="31"/>
      <c r="G227" s="32"/>
      <c r="H227" s="32"/>
      <c r="I227" s="32"/>
      <c r="J227" s="32"/>
      <c r="K227" s="32"/>
      <c r="L227" s="32"/>
      <c r="M227" s="32"/>
      <c r="N227" s="32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20"/>
      <c r="AI227" s="20"/>
      <c r="AJ227" s="20"/>
      <c r="AK227" s="20"/>
      <c r="AL227" s="20"/>
      <c r="AM227" s="20"/>
    </row>
    <row r="228" spans="1:39" x14ac:dyDescent="0.25">
      <c r="A228" s="20"/>
      <c r="B228" s="32"/>
      <c r="C228" s="32"/>
      <c r="D228" s="32"/>
      <c r="E228" s="32"/>
      <c r="F228" s="31"/>
      <c r="G228" s="32"/>
      <c r="H228" s="32"/>
      <c r="I228" s="32"/>
      <c r="J228" s="32"/>
      <c r="K228" s="32"/>
      <c r="L228" s="32"/>
      <c r="M228" s="32"/>
      <c r="N228" s="32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  <c r="AH228" s="20"/>
      <c r="AI228" s="20"/>
      <c r="AJ228" s="20"/>
      <c r="AK228" s="20"/>
      <c r="AL228" s="20"/>
      <c r="AM228" s="20"/>
    </row>
    <row r="229" spans="1:39" x14ac:dyDescent="0.25">
      <c r="A229" s="20"/>
      <c r="B229" s="32"/>
      <c r="C229" s="32"/>
      <c r="D229" s="32"/>
      <c r="E229" s="32"/>
      <c r="F229" s="31"/>
      <c r="G229" s="32"/>
      <c r="H229" s="32"/>
      <c r="I229" s="32"/>
      <c r="J229" s="32"/>
      <c r="K229" s="32"/>
      <c r="L229" s="32"/>
      <c r="M229" s="32"/>
      <c r="N229" s="32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20"/>
      <c r="AI229" s="20"/>
      <c r="AJ229" s="20"/>
      <c r="AK229" s="20"/>
      <c r="AL229" s="20"/>
      <c r="AM229" s="20"/>
    </row>
    <row r="230" spans="1:39" x14ac:dyDescent="0.25">
      <c r="A230" s="20"/>
      <c r="B230" s="32"/>
      <c r="C230" s="32"/>
      <c r="D230" s="32"/>
      <c r="E230" s="32"/>
      <c r="F230" s="31"/>
      <c r="G230" s="32"/>
      <c r="H230" s="32"/>
      <c r="I230" s="32"/>
      <c r="J230" s="32"/>
      <c r="K230" s="32"/>
      <c r="L230" s="32"/>
      <c r="M230" s="32"/>
      <c r="N230" s="32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20"/>
      <c r="AI230" s="20"/>
      <c r="AJ230" s="20"/>
      <c r="AK230" s="20"/>
      <c r="AL230" s="20"/>
      <c r="AM230" s="20"/>
    </row>
    <row r="231" spans="1:39" x14ac:dyDescent="0.25">
      <c r="A231" s="20"/>
      <c r="B231" s="32"/>
      <c r="C231" s="32"/>
      <c r="D231" s="32"/>
      <c r="E231" s="32"/>
      <c r="F231" s="31"/>
      <c r="G231" s="32"/>
      <c r="H231" s="32"/>
      <c r="I231" s="32"/>
      <c r="J231" s="32"/>
      <c r="K231" s="32"/>
      <c r="L231" s="32"/>
      <c r="M231" s="32"/>
      <c r="N231" s="32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20"/>
      <c r="AI231" s="20"/>
      <c r="AJ231" s="20"/>
      <c r="AK231" s="20"/>
      <c r="AL231" s="20"/>
      <c r="AM231" s="20"/>
    </row>
    <row r="232" spans="1:39" x14ac:dyDescent="0.25">
      <c r="A232" s="20"/>
      <c r="B232" s="32"/>
      <c r="C232" s="32"/>
      <c r="D232" s="32"/>
      <c r="E232" s="32"/>
      <c r="F232" s="31"/>
      <c r="G232" s="32"/>
      <c r="H232" s="32"/>
      <c r="I232" s="32"/>
      <c r="J232" s="32"/>
      <c r="K232" s="32"/>
      <c r="L232" s="32"/>
      <c r="M232" s="32"/>
      <c r="N232" s="32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20"/>
      <c r="AI232" s="20"/>
      <c r="AJ232" s="20"/>
      <c r="AK232" s="20"/>
      <c r="AL232" s="20"/>
      <c r="AM232" s="20"/>
    </row>
    <row r="233" spans="1:39" x14ac:dyDescent="0.25">
      <c r="A233" s="20"/>
      <c r="B233" s="32"/>
      <c r="C233" s="32"/>
      <c r="D233" s="32"/>
      <c r="E233" s="32"/>
      <c r="F233" s="31"/>
      <c r="G233" s="32"/>
      <c r="H233" s="32"/>
      <c r="I233" s="32"/>
      <c r="J233" s="32"/>
      <c r="K233" s="32"/>
      <c r="L233" s="32"/>
      <c r="M233" s="32"/>
      <c r="N233" s="32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20"/>
      <c r="AI233" s="20"/>
      <c r="AJ233" s="20"/>
      <c r="AK233" s="20"/>
      <c r="AL233" s="20"/>
      <c r="AM233" s="20"/>
    </row>
    <row r="234" spans="1:39" x14ac:dyDescent="0.25">
      <c r="A234" s="20"/>
      <c r="B234" s="32"/>
      <c r="C234" s="32"/>
      <c r="D234" s="32"/>
      <c r="E234" s="32"/>
      <c r="F234" s="31"/>
      <c r="G234" s="32"/>
      <c r="H234" s="32"/>
      <c r="I234" s="32"/>
      <c r="J234" s="32"/>
      <c r="K234" s="32"/>
      <c r="L234" s="32"/>
      <c r="M234" s="32"/>
      <c r="N234" s="32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20"/>
      <c r="AI234" s="20"/>
      <c r="AJ234" s="20"/>
      <c r="AK234" s="20"/>
      <c r="AL234" s="20"/>
      <c r="AM234" s="20"/>
    </row>
    <row r="235" spans="1:39" x14ac:dyDescent="0.25">
      <c r="A235" s="20"/>
      <c r="B235" s="32"/>
      <c r="C235" s="32"/>
      <c r="D235" s="32"/>
      <c r="E235" s="32"/>
      <c r="F235" s="31"/>
      <c r="G235" s="32"/>
      <c r="H235" s="32"/>
      <c r="I235" s="32"/>
      <c r="J235" s="32"/>
      <c r="K235" s="32"/>
      <c r="L235" s="32"/>
      <c r="M235" s="32"/>
      <c r="N235" s="32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  <c r="AH235" s="20"/>
      <c r="AI235" s="20"/>
      <c r="AJ235" s="20"/>
      <c r="AK235" s="20"/>
      <c r="AL235" s="20"/>
      <c r="AM235" s="20"/>
    </row>
    <row r="236" spans="1:39" x14ac:dyDescent="0.25">
      <c r="A236" s="20"/>
      <c r="B236" s="32"/>
      <c r="C236" s="32"/>
      <c r="D236" s="32"/>
      <c r="E236" s="32"/>
      <c r="F236" s="31"/>
      <c r="G236" s="32"/>
      <c r="H236" s="32"/>
      <c r="I236" s="32"/>
      <c r="J236" s="32"/>
      <c r="K236" s="32"/>
      <c r="L236" s="32"/>
      <c r="M236" s="32"/>
      <c r="N236" s="32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20"/>
      <c r="AI236" s="20"/>
      <c r="AJ236" s="20"/>
      <c r="AK236" s="20"/>
      <c r="AL236" s="20"/>
      <c r="AM236" s="20"/>
    </row>
    <row r="237" spans="1:39" x14ac:dyDescent="0.25">
      <c r="A237" s="20"/>
      <c r="B237" s="32"/>
      <c r="C237" s="32"/>
      <c r="D237" s="32"/>
      <c r="E237" s="32"/>
      <c r="F237" s="31"/>
      <c r="G237" s="32"/>
      <c r="H237" s="32"/>
      <c r="I237" s="32"/>
      <c r="J237" s="32"/>
      <c r="K237" s="32"/>
      <c r="L237" s="32"/>
      <c r="M237" s="32"/>
      <c r="N237" s="32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20"/>
      <c r="AI237" s="20"/>
      <c r="AJ237" s="20"/>
      <c r="AK237" s="20"/>
      <c r="AL237" s="20"/>
      <c r="AM237" s="20"/>
    </row>
    <row r="238" spans="1:39" x14ac:dyDescent="0.25">
      <c r="A238" s="20"/>
      <c r="B238" s="32"/>
      <c r="C238" s="32"/>
      <c r="D238" s="32"/>
      <c r="E238" s="32"/>
      <c r="F238" s="31"/>
      <c r="G238" s="32"/>
      <c r="H238" s="32"/>
      <c r="I238" s="32"/>
      <c r="J238" s="32"/>
      <c r="K238" s="32"/>
      <c r="L238" s="32"/>
      <c r="M238" s="32"/>
      <c r="N238" s="32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  <c r="AA238" s="20"/>
      <c r="AB238" s="20"/>
      <c r="AC238" s="20"/>
      <c r="AD238" s="20"/>
      <c r="AE238" s="20"/>
      <c r="AF238" s="20"/>
      <c r="AG238" s="20"/>
      <c r="AH238" s="20"/>
      <c r="AI238" s="20"/>
      <c r="AJ238" s="20"/>
      <c r="AK238" s="20"/>
      <c r="AL238" s="20"/>
      <c r="AM238" s="20"/>
    </row>
    <row r="239" spans="1:39" x14ac:dyDescent="0.25">
      <c r="A239" s="20"/>
      <c r="B239" s="32"/>
      <c r="C239" s="32"/>
      <c r="D239" s="32"/>
      <c r="E239" s="32"/>
      <c r="F239" s="31"/>
      <c r="G239" s="32"/>
      <c r="H239" s="32"/>
      <c r="I239" s="32"/>
      <c r="J239" s="32"/>
      <c r="K239" s="32"/>
      <c r="L239" s="32"/>
      <c r="M239" s="32"/>
      <c r="N239" s="32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  <c r="AA239" s="20"/>
      <c r="AB239" s="20"/>
      <c r="AC239" s="20"/>
      <c r="AD239" s="20"/>
      <c r="AE239" s="20"/>
      <c r="AF239" s="20"/>
      <c r="AG239" s="20"/>
      <c r="AH239" s="20"/>
      <c r="AI239" s="20"/>
      <c r="AJ239" s="20"/>
      <c r="AK239" s="20"/>
      <c r="AL239" s="20"/>
      <c r="AM239" s="20"/>
    </row>
    <row r="240" spans="1:39" x14ac:dyDescent="0.25">
      <c r="A240" s="20"/>
      <c r="B240" s="32"/>
      <c r="C240" s="32"/>
      <c r="D240" s="32"/>
      <c r="E240" s="32"/>
      <c r="F240" s="31"/>
      <c r="G240" s="32"/>
      <c r="H240" s="32"/>
      <c r="I240" s="32"/>
      <c r="J240" s="32"/>
      <c r="K240" s="32"/>
      <c r="L240" s="32"/>
      <c r="M240" s="32"/>
      <c r="N240" s="32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  <c r="AA240" s="20"/>
      <c r="AB240" s="20"/>
      <c r="AC240" s="20"/>
      <c r="AD240" s="20"/>
      <c r="AE240" s="20"/>
      <c r="AF240" s="20"/>
      <c r="AG240" s="20"/>
      <c r="AH240" s="20"/>
      <c r="AI240" s="20"/>
      <c r="AJ240" s="20"/>
      <c r="AK240" s="20"/>
      <c r="AL240" s="20"/>
      <c r="AM240" s="20"/>
    </row>
    <row r="241" spans="1:39" x14ac:dyDescent="0.25">
      <c r="A241" s="20"/>
      <c r="B241" s="32"/>
      <c r="C241" s="32"/>
      <c r="D241" s="32"/>
      <c r="E241" s="32"/>
      <c r="F241" s="31"/>
      <c r="G241" s="32"/>
      <c r="H241" s="32"/>
      <c r="I241" s="32"/>
      <c r="J241" s="32"/>
      <c r="K241" s="32"/>
      <c r="L241" s="32"/>
      <c r="M241" s="32"/>
      <c r="N241" s="32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  <c r="AD241" s="20"/>
      <c r="AE241" s="20"/>
      <c r="AF241" s="20"/>
      <c r="AG241" s="20"/>
      <c r="AH241" s="20"/>
      <c r="AI241" s="20"/>
      <c r="AJ241" s="20"/>
      <c r="AK241" s="20"/>
      <c r="AL241" s="20"/>
      <c r="AM241" s="20"/>
    </row>
    <row r="242" spans="1:39" x14ac:dyDescent="0.25">
      <c r="A242" s="20"/>
      <c r="B242" s="32"/>
      <c r="C242" s="32"/>
      <c r="D242" s="32"/>
      <c r="E242" s="32"/>
      <c r="F242" s="31"/>
      <c r="G242" s="32"/>
      <c r="H242" s="32"/>
      <c r="I242" s="32"/>
      <c r="J242" s="32"/>
      <c r="K242" s="32"/>
      <c r="L242" s="32"/>
      <c r="M242" s="32"/>
      <c r="N242" s="32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  <c r="AA242" s="20"/>
      <c r="AB242" s="20"/>
      <c r="AC242" s="20"/>
      <c r="AD242" s="20"/>
      <c r="AE242" s="20"/>
      <c r="AF242" s="20"/>
      <c r="AG242" s="20"/>
      <c r="AH242" s="20"/>
      <c r="AI242" s="20"/>
      <c r="AJ242" s="20"/>
      <c r="AK242" s="20"/>
      <c r="AL242" s="20"/>
      <c r="AM242" s="20"/>
    </row>
    <row r="243" spans="1:39" x14ac:dyDescent="0.25">
      <c r="A243" s="20"/>
      <c r="B243" s="32"/>
      <c r="C243" s="32"/>
      <c r="D243" s="32"/>
      <c r="E243" s="32"/>
      <c r="F243" s="31"/>
      <c r="G243" s="32"/>
      <c r="H243" s="32"/>
      <c r="I243" s="32"/>
      <c r="J243" s="32"/>
      <c r="K243" s="32"/>
      <c r="L243" s="32"/>
      <c r="M243" s="32"/>
      <c r="N243" s="32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  <c r="AA243" s="20"/>
      <c r="AB243" s="20"/>
      <c r="AC243" s="20"/>
      <c r="AD243" s="20"/>
      <c r="AE243" s="20"/>
      <c r="AF243" s="20"/>
      <c r="AG243" s="20"/>
      <c r="AH243" s="20"/>
      <c r="AI243" s="20"/>
      <c r="AJ243" s="20"/>
      <c r="AK243" s="20"/>
      <c r="AL243" s="20"/>
      <c r="AM243" s="20"/>
    </row>
    <row r="244" spans="1:39" x14ac:dyDescent="0.25">
      <c r="A244" s="20"/>
      <c r="B244" s="32"/>
      <c r="C244" s="32"/>
      <c r="D244" s="32"/>
      <c r="E244" s="32"/>
      <c r="F244" s="31"/>
      <c r="G244" s="32"/>
      <c r="H244" s="32"/>
      <c r="I244" s="32"/>
      <c r="J244" s="32"/>
      <c r="K244" s="32"/>
      <c r="L244" s="32"/>
      <c r="M244" s="32"/>
      <c r="N244" s="32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20"/>
      <c r="AF244" s="20"/>
      <c r="AG244" s="20"/>
      <c r="AH244" s="20"/>
      <c r="AI244" s="20"/>
      <c r="AJ244" s="20"/>
      <c r="AK244" s="20"/>
      <c r="AL244" s="20"/>
      <c r="AM244" s="20"/>
    </row>
    <row r="245" spans="1:39" x14ac:dyDescent="0.25">
      <c r="A245" s="20"/>
      <c r="B245" s="32"/>
      <c r="C245" s="32"/>
      <c r="D245" s="32"/>
      <c r="E245" s="32"/>
      <c r="F245" s="31"/>
      <c r="G245" s="32"/>
      <c r="H245" s="32"/>
      <c r="I245" s="32"/>
      <c r="J245" s="32"/>
      <c r="K245" s="32"/>
      <c r="L245" s="32"/>
      <c r="M245" s="32"/>
      <c r="N245" s="32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  <c r="AA245" s="20"/>
      <c r="AB245" s="20"/>
      <c r="AC245" s="20"/>
      <c r="AD245" s="20"/>
      <c r="AE245" s="20"/>
      <c r="AF245" s="20"/>
      <c r="AG245" s="20"/>
      <c r="AH245" s="20"/>
      <c r="AI245" s="20"/>
      <c r="AJ245" s="20"/>
      <c r="AK245" s="20"/>
      <c r="AL245" s="20"/>
      <c r="AM245" s="20"/>
    </row>
    <row r="246" spans="1:39" x14ac:dyDescent="0.25">
      <c r="A246" s="20"/>
      <c r="B246" s="32"/>
      <c r="C246" s="32"/>
      <c r="D246" s="32"/>
      <c r="E246" s="32"/>
      <c r="F246" s="31"/>
      <c r="G246" s="32"/>
      <c r="H246" s="32"/>
      <c r="I246" s="32"/>
      <c r="J246" s="32"/>
      <c r="K246" s="32"/>
      <c r="L246" s="32"/>
      <c r="M246" s="32"/>
      <c r="N246" s="32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20"/>
      <c r="AF246" s="20"/>
      <c r="AG246" s="20"/>
      <c r="AH246" s="20"/>
      <c r="AI246" s="20"/>
      <c r="AJ246" s="20"/>
      <c r="AK246" s="20"/>
      <c r="AL246" s="20"/>
      <c r="AM246" s="20"/>
    </row>
    <row r="247" spans="1:39" x14ac:dyDescent="0.25">
      <c r="A247" s="20"/>
      <c r="B247" s="32"/>
      <c r="C247" s="32"/>
      <c r="D247" s="32"/>
      <c r="E247" s="32"/>
      <c r="F247" s="31"/>
      <c r="G247" s="32"/>
      <c r="H247" s="32"/>
      <c r="I247" s="32"/>
      <c r="J247" s="32"/>
      <c r="K247" s="32"/>
      <c r="L247" s="32"/>
      <c r="M247" s="32"/>
      <c r="N247" s="32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  <c r="AD247" s="20"/>
      <c r="AE247" s="20"/>
      <c r="AF247" s="20"/>
      <c r="AG247" s="20"/>
      <c r="AH247" s="20"/>
      <c r="AI247" s="20"/>
      <c r="AJ247" s="20"/>
      <c r="AK247" s="20"/>
      <c r="AL247" s="20"/>
      <c r="AM247" s="20"/>
    </row>
    <row r="248" spans="1:39" x14ac:dyDescent="0.25">
      <c r="A248" s="20"/>
      <c r="B248" s="32"/>
      <c r="C248" s="32"/>
      <c r="D248" s="32"/>
      <c r="E248" s="32"/>
      <c r="F248" s="31"/>
      <c r="G248" s="32"/>
      <c r="H248" s="32"/>
      <c r="I248" s="32"/>
      <c r="J248" s="32"/>
      <c r="K248" s="32"/>
      <c r="L248" s="32"/>
      <c r="M248" s="32"/>
      <c r="N248" s="32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  <c r="AA248" s="20"/>
      <c r="AB248" s="20"/>
      <c r="AC248" s="20"/>
      <c r="AD248" s="20"/>
      <c r="AE248" s="20"/>
      <c r="AF248" s="20"/>
      <c r="AG248" s="20"/>
      <c r="AH248" s="20"/>
      <c r="AI248" s="20"/>
      <c r="AJ248" s="20"/>
      <c r="AK248" s="20"/>
      <c r="AL248" s="20"/>
      <c r="AM248" s="20"/>
    </row>
    <row r="249" spans="1:39" x14ac:dyDescent="0.25">
      <c r="A249" s="20"/>
      <c r="B249" s="32"/>
      <c r="C249" s="32"/>
      <c r="D249" s="32"/>
      <c r="E249" s="32"/>
      <c r="F249" s="31"/>
      <c r="G249" s="32"/>
      <c r="H249" s="32"/>
      <c r="I249" s="32"/>
      <c r="J249" s="32"/>
      <c r="K249" s="32"/>
      <c r="L249" s="32"/>
      <c r="M249" s="32"/>
      <c r="N249" s="32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  <c r="AA249" s="20"/>
      <c r="AB249" s="20"/>
      <c r="AC249" s="20"/>
      <c r="AD249" s="20"/>
      <c r="AE249" s="20"/>
      <c r="AF249" s="20"/>
      <c r="AG249" s="20"/>
      <c r="AH249" s="20"/>
      <c r="AI249" s="20"/>
      <c r="AJ249" s="20"/>
      <c r="AK249" s="20"/>
      <c r="AL249" s="20"/>
      <c r="AM249" s="20"/>
    </row>
    <row r="250" spans="1:39" x14ac:dyDescent="0.25">
      <c r="A250" s="20"/>
      <c r="B250" s="32"/>
      <c r="C250" s="32"/>
      <c r="D250" s="32"/>
      <c r="E250" s="32"/>
      <c r="F250" s="31"/>
      <c r="G250" s="32"/>
      <c r="H250" s="32"/>
      <c r="I250" s="32"/>
      <c r="J250" s="32"/>
      <c r="K250" s="32"/>
      <c r="L250" s="32"/>
      <c r="M250" s="32"/>
      <c r="N250" s="32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  <c r="AA250" s="20"/>
      <c r="AB250" s="20"/>
      <c r="AC250" s="20"/>
      <c r="AD250" s="20"/>
      <c r="AE250" s="20"/>
      <c r="AF250" s="20"/>
      <c r="AG250" s="20"/>
      <c r="AH250" s="20"/>
      <c r="AI250" s="20"/>
      <c r="AJ250" s="20"/>
      <c r="AK250" s="20"/>
      <c r="AL250" s="20"/>
      <c r="AM250" s="20"/>
    </row>
    <row r="251" spans="1:39" x14ac:dyDescent="0.25">
      <c r="A251" s="20"/>
      <c r="B251" s="32"/>
      <c r="C251" s="32"/>
      <c r="D251" s="32"/>
      <c r="E251" s="32"/>
      <c r="F251" s="31"/>
      <c r="G251" s="32"/>
      <c r="H251" s="32"/>
      <c r="I251" s="32"/>
      <c r="J251" s="32"/>
      <c r="K251" s="32"/>
      <c r="L251" s="32"/>
      <c r="M251" s="32"/>
      <c r="N251" s="32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  <c r="AA251" s="20"/>
      <c r="AB251" s="20"/>
      <c r="AC251" s="20"/>
      <c r="AD251" s="20"/>
      <c r="AE251" s="20"/>
      <c r="AF251" s="20"/>
      <c r="AG251" s="20"/>
      <c r="AH251" s="20"/>
      <c r="AI251" s="20"/>
      <c r="AJ251" s="20"/>
      <c r="AK251" s="20"/>
      <c r="AL251" s="20"/>
      <c r="AM251" s="20"/>
    </row>
    <row r="252" spans="1:39" x14ac:dyDescent="0.25">
      <c r="A252" s="20"/>
      <c r="B252" s="32"/>
      <c r="C252" s="32"/>
      <c r="D252" s="32"/>
      <c r="E252" s="32"/>
      <c r="F252" s="31"/>
      <c r="G252" s="32"/>
      <c r="H252" s="32"/>
      <c r="I252" s="32"/>
      <c r="J252" s="32"/>
      <c r="K252" s="32"/>
      <c r="L252" s="32"/>
      <c r="M252" s="32"/>
      <c r="N252" s="32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  <c r="AA252" s="20"/>
      <c r="AB252" s="20"/>
      <c r="AC252" s="20"/>
      <c r="AD252" s="20"/>
      <c r="AE252" s="20"/>
      <c r="AF252" s="20"/>
      <c r="AG252" s="20"/>
      <c r="AH252" s="20"/>
      <c r="AI252" s="20"/>
      <c r="AJ252" s="20"/>
      <c r="AK252" s="20"/>
      <c r="AL252" s="20"/>
      <c r="AM252" s="20"/>
    </row>
    <row r="253" spans="1:39" x14ac:dyDescent="0.25">
      <c r="A253" s="20"/>
      <c r="B253" s="32"/>
      <c r="C253" s="32"/>
      <c r="D253" s="32"/>
      <c r="E253" s="32"/>
      <c r="F253" s="31"/>
      <c r="G253" s="32"/>
      <c r="H253" s="32"/>
      <c r="I253" s="32"/>
      <c r="J253" s="32"/>
      <c r="K253" s="32"/>
      <c r="L253" s="32"/>
      <c r="M253" s="32"/>
      <c r="N253" s="32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  <c r="AA253" s="20"/>
      <c r="AB253" s="20"/>
      <c r="AC253" s="20"/>
      <c r="AD253" s="20"/>
      <c r="AE253" s="20"/>
      <c r="AF253" s="20"/>
      <c r="AG253" s="20"/>
      <c r="AH253" s="20"/>
      <c r="AI253" s="20"/>
      <c r="AJ253" s="20"/>
      <c r="AK253" s="20"/>
      <c r="AL253" s="20"/>
      <c r="AM253" s="20"/>
    </row>
    <row r="254" spans="1:39" x14ac:dyDescent="0.25">
      <c r="A254" s="20"/>
      <c r="B254" s="32"/>
      <c r="C254" s="32"/>
      <c r="D254" s="32"/>
      <c r="E254" s="32"/>
      <c r="F254" s="31"/>
      <c r="G254" s="32"/>
      <c r="H254" s="32"/>
      <c r="I254" s="32"/>
      <c r="J254" s="32"/>
      <c r="K254" s="32"/>
      <c r="L254" s="32"/>
      <c r="M254" s="32"/>
      <c r="N254" s="32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  <c r="AA254" s="20"/>
      <c r="AB254" s="20"/>
      <c r="AC254" s="20"/>
      <c r="AD254" s="20"/>
      <c r="AE254" s="20"/>
      <c r="AF254" s="20"/>
      <c r="AG254" s="20"/>
      <c r="AH254" s="20"/>
      <c r="AI254" s="20"/>
      <c r="AJ254" s="20"/>
      <c r="AK254" s="20"/>
      <c r="AL254" s="20"/>
      <c r="AM254" s="20"/>
    </row>
    <row r="255" spans="1:39" x14ac:dyDescent="0.25">
      <c r="A255" s="20"/>
      <c r="B255" s="32"/>
      <c r="C255" s="32"/>
      <c r="D255" s="32"/>
      <c r="E255" s="32"/>
      <c r="F255" s="31"/>
      <c r="G255" s="32"/>
      <c r="H255" s="32"/>
      <c r="I255" s="32"/>
      <c r="J255" s="32"/>
      <c r="K255" s="32"/>
      <c r="L255" s="32"/>
      <c r="M255" s="32"/>
      <c r="N255" s="32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  <c r="AA255" s="20"/>
      <c r="AB255" s="20"/>
      <c r="AC255" s="20"/>
      <c r="AD255" s="20"/>
      <c r="AE255" s="20"/>
      <c r="AF255" s="20"/>
      <c r="AG255" s="20"/>
      <c r="AH255" s="20"/>
      <c r="AI255" s="20"/>
      <c r="AJ255" s="20"/>
      <c r="AK255" s="20"/>
      <c r="AL255" s="20"/>
      <c r="AM255" s="20"/>
    </row>
    <row r="256" spans="1:39" x14ac:dyDescent="0.25">
      <c r="A256" s="20"/>
      <c r="B256" s="32"/>
      <c r="C256" s="32"/>
      <c r="D256" s="32"/>
      <c r="E256" s="32"/>
      <c r="F256" s="31"/>
      <c r="G256" s="32"/>
      <c r="H256" s="32"/>
      <c r="I256" s="32"/>
      <c r="J256" s="32"/>
      <c r="K256" s="32"/>
      <c r="L256" s="32"/>
      <c r="M256" s="32"/>
      <c r="N256" s="32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  <c r="AA256" s="20"/>
      <c r="AB256" s="20"/>
      <c r="AC256" s="20"/>
      <c r="AD256" s="20"/>
      <c r="AE256" s="20"/>
      <c r="AF256" s="20"/>
      <c r="AG256" s="20"/>
      <c r="AH256" s="20"/>
      <c r="AI256" s="20"/>
      <c r="AJ256" s="20"/>
      <c r="AK256" s="20"/>
      <c r="AL256" s="20"/>
      <c r="AM256" s="20"/>
    </row>
    <row r="257" spans="1:39" x14ac:dyDescent="0.25">
      <c r="A257" s="20"/>
      <c r="B257" s="32"/>
      <c r="C257" s="32"/>
      <c r="D257" s="32"/>
      <c r="E257" s="32"/>
      <c r="F257" s="31"/>
      <c r="G257" s="32"/>
      <c r="H257" s="32"/>
      <c r="I257" s="32"/>
      <c r="J257" s="32"/>
      <c r="K257" s="32"/>
      <c r="L257" s="32"/>
      <c r="M257" s="32"/>
      <c r="N257" s="32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  <c r="AA257" s="20"/>
      <c r="AB257" s="20"/>
      <c r="AC257" s="20"/>
      <c r="AD257" s="20"/>
      <c r="AE257" s="20"/>
      <c r="AF257" s="20"/>
      <c r="AG257" s="20"/>
      <c r="AH257" s="20"/>
      <c r="AI257" s="20"/>
      <c r="AJ257" s="20"/>
      <c r="AK257" s="20"/>
      <c r="AL257" s="20"/>
      <c r="AM257" s="20"/>
    </row>
    <row r="258" spans="1:39" x14ac:dyDescent="0.25">
      <c r="A258" s="20"/>
      <c r="B258" s="32"/>
      <c r="C258" s="32"/>
      <c r="D258" s="32"/>
      <c r="E258" s="32"/>
      <c r="F258" s="31"/>
      <c r="G258" s="32"/>
      <c r="H258" s="32"/>
      <c r="I258" s="32"/>
      <c r="J258" s="32"/>
      <c r="K258" s="32"/>
      <c r="L258" s="32"/>
      <c r="M258" s="32"/>
      <c r="N258" s="32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20"/>
      <c r="AB258" s="20"/>
      <c r="AC258" s="20"/>
      <c r="AD258" s="20"/>
      <c r="AE258" s="20"/>
      <c r="AF258" s="20"/>
      <c r="AG258" s="20"/>
      <c r="AH258" s="20"/>
      <c r="AI258" s="20"/>
      <c r="AJ258" s="20"/>
      <c r="AK258" s="20"/>
      <c r="AL258" s="20"/>
      <c r="AM258" s="20"/>
    </row>
    <row r="259" spans="1:39" x14ac:dyDescent="0.25">
      <c r="A259" s="20"/>
      <c r="B259" s="32"/>
      <c r="C259" s="32"/>
      <c r="D259" s="32"/>
      <c r="E259" s="32"/>
      <c r="F259" s="31"/>
      <c r="G259" s="32"/>
      <c r="H259" s="32"/>
      <c r="I259" s="32"/>
      <c r="J259" s="32"/>
      <c r="K259" s="32"/>
      <c r="L259" s="32"/>
      <c r="M259" s="32"/>
      <c r="N259" s="32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20"/>
      <c r="AB259" s="20"/>
      <c r="AC259" s="20"/>
      <c r="AD259" s="20"/>
      <c r="AE259" s="20"/>
      <c r="AF259" s="20"/>
      <c r="AG259" s="20"/>
      <c r="AH259" s="20"/>
      <c r="AI259" s="20"/>
      <c r="AJ259" s="20"/>
      <c r="AK259" s="20"/>
      <c r="AL259" s="20"/>
      <c r="AM259" s="20"/>
    </row>
    <row r="260" spans="1:39" x14ac:dyDescent="0.25">
      <c r="A260" s="20"/>
      <c r="B260" s="32"/>
      <c r="C260" s="32"/>
      <c r="D260" s="32"/>
      <c r="E260" s="32"/>
      <c r="F260" s="31"/>
      <c r="G260" s="32"/>
      <c r="H260" s="32"/>
      <c r="I260" s="32"/>
      <c r="J260" s="32"/>
      <c r="K260" s="32"/>
      <c r="L260" s="32"/>
      <c r="M260" s="32"/>
      <c r="N260" s="32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20"/>
      <c r="AB260" s="20"/>
      <c r="AC260" s="20"/>
      <c r="AD260" s="20"/>
      <c r="AE260" s="20"/>
      <c r="AF260" s="20"/>
      <c r="AG260" s="20"/>
      <c r="AH260" s="20"/>
      <c r="AI260" s="20"/>
      <c r="AJ260" s="20"/>
      <c r="AK260" s="20"/>
      <c r="AL260" s="20"/>
      <c r="AM260" s="20"/>
    </row>
    <row r="261" spans="1:39" x14ac:dyDescent="0.25">
      <c r="A261" s="20"/>
      <c r="B261" s="32"/>
      <c r="C261" s="32"/>
      <c r="D261" s="32"/>
      <c r="E261" s="32"/>
      <c r="F261" s="31"/>
      <c r="G261" s="32"/>
      <c r="H261" s="32"/>
      <c r="I261" s="32"/>
      <c r="J261" s="32"/>
      <c r="K261" s="32"/>
      <c r="L261" s="32"/>
      <c r="M261" s="32"/>
      <c r="N261" s="32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20"/>
      <c r="AB261" s="20"/>
      <c r="AC261" s="20"/>
      <c r="AD261" s="20"/>
      <c r="AE261" s="20"/>
      <c r="AF261" s="20"/>
      <c r="AG261" s="20"/>
      <c r="AH261" s="20"/>
      <c r="AI261" s="20"/>
      <c r="AJ261" s="20"/>
      <c r="AK261" s="20"/>
      <c r="AL261" s="20"/>
      <c r="AM261" s="20"/>
    </row>
    <row r="262" spans="1:39" x14ac:dyDescent="0.25">
      <c r="A262" s="20"/>
      <c r="B262" s="32"/>
      <c r="C262" s="32"/>
      <c r="D262" s="32"/>
      <c r="E262" s="32"/>
      <c r="F262" s="31"/>
      <c r="G262" s="32"/>
      <c r="H262" s="32"/>
      <c r="I262" s="32"/>
      <c r="J262" s="32"/>
      <c r="K262" s="32"/>
      <c r="L262" s="32"/>
      <c r="M262" s="32"/>
      <c r="N262" s="32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20"/>
      <c r="AB262" s="20"/>
      <c r="AC262" s="20"/>
      <c r="AD262" s="20"/>
      <c r="AE262" s="20"/>
      <c r="AF262" s="20"/>
      <c r="AG262" s="20"/>
      <c r="AH262" s="20"/>
      <c r="AI262" s="20"/>
      <c r="AJ262" s="20"/>
      <c r="AK262" s="20"/>
      <c r="AL262" s="20"/>
      <c r="AM262" s="20"/>
    </row>
    <row r="263" spans="1:39" x14ac:dyDescent="0.25">
      <c r="A263" s="20"/>
      <c r="B263" s="32"/>
      <c r="C263" s="32"/>
      <c r="D263" s="32"/>
      <c r="E263" s="32"/>
      <c r="F263" s="31"/>
      <c r="G263" s="32"/>
      <c r="H263" s="32"/>
      <c r="I263" s="32"/>
      <c r="J263" s="32"/>
      <c r="K263" s="32"/>
      <c r="L263" s="32"/>
      <c r="M263" s="32"/>
      <c r="N263" s="32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20"/>
      <c r="AB263" s="20"/>
      <c r="AC263" s="20"/>
      <c r="AD263" s="20"/>
      <c r="AE263" s="20"/>
      <c r="AF263" s="20"/>
      <c r="AG263" s="20"/>
      <c r="AH263" s="20"/>
      <c r="AI263" s="20"/>
      <c r="AJ263" s="20"/>
      <c r="AK263" s="20"/>
      <c r="AL263" s="20"/>
      <c r="AM263" s="20"/>
    </row>
    <row r="264" spans="1:39" x14ac:dyDescent="0.25">
      <c r="A264" s="20"/>
      <c r="B264" s="32"/>
      <c r="C264" s="32"/>
      <c r="D264" s="32"/>
      <c r="E264" s="32"/>
      <c r="F264" s="31"/>
      <c r="G264" s="32"/>
      <c r="H264" s="32"/>
      <c r="I264" s="32"/>
      <c r="J264" s="32"/>
      <c r="K264" s="32"/>
      <c r="L264" s="32"/>
      <c r="M264" s="32"/>
      <c r="N264" s="32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20"/>
      <c r="AF264" s="20"/>
      <c r="AG264" s="20"/>
      <c r="AH264" s="20"/>
      <c r="AI264" s="20"/>
      <c r="AJ264" s="20"/>
      <c r="AK264" s="20"/>
      <c r="AL264" s="20"/>
      <c r="AM264" s="20"/>
    </row>
    <row r="265" spans="1:39" x14ac:dyDescent="0.25">
      <c r="A265" s="20"/>
      <c r="B265" s="32"/>
      <c r="C265" s="32"/>
      <c r="D265" s="32"/>
      <c r="E265" s="32"/>
      <c r="F265" s="31"/>
      <c r="G265" s="32"/>
      <c r="H265" s="32"/>
      <c r="I265" s="32"/>
      <c r="J265" s="32"/>
      <c r="K265" s="32"/>
      <c r="L265" s="32"/>
      <c r="M265" s="32"/>
      <c r="N265" s="32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  <c r="AD265" s="20"/>
      <c r="AE265" s="20"/>
      <c r="AF265" s="20"/>
      <c r="AG265" s="20"/>
      <c r="AH265" s="20"/>
      <c r="AI265" s="20"/>
      <c r="AJ265" s="20"/>
      <c r="AK265" s="20"/>
      <c r="AL265" s="20"/>
      <c r="AM265" s="20"/>
    </row>
    <row r="266" spans="1:39" x14ac:dyDescent="0.25">
      <c r="A266" s="20"/>
      <c r="B266" s="32"/>
      <c r="C266" s="32"/>
      <c r="D266" s="32"/>
      <c r="E266" s="32"/>
      <c r="F266" s="31"/>
      <c r="G266" s="32"/>
      <c r="H266" s="32"/>
      <c r="I266" s="32"/>
      <c r="J266" s="32"/>
      <c r="K266" s="32"/>
      <c r="L266" s="32"/>
      <c r="M266" s="32"/>
      <c r="N266" s="32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20"/>
      <c r="AB266" s="20"/>
      <c r="AC266" s="20"/>
      <c r="AD266" s="20"/>
      <c r="AE266" s="20"/>
      <c r="AF266" s="20"/>
      <c r="AG266" s="20"/>
      <c r="AH266" s="20"/>
      <c r="AI266" s="20"/>
      <c r="AJ266" s="20"/>
      <c r="AK266" s="20"/>
      <c r="AL266" s="20"/>
      <c r="AM266" s="20"/>
    </row>
    <row r="267" spans="1:39" x14ac:dyDescent="0.25">
      <c r="A267" s="20"/>
      <c r="B267" s="32"/>
      <c r="C267" s="32"/>
      <c r="D267" s="32"/>
      <c r="E267" s="32"/>
      <c r="F267" s="31"/>
      <c r="G267" s="32"/>
      <c r="H267" s="32"/>
      <c r="I267" s="32"/>
      <c r="J267" s="32"/>
      <c r="K267" s="32"/>
      <c r="L267" s="32"/>
      <c r="M267" s="32"/>
      <c r="N267" s="32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  <c r="AF267" s="20"/>
      <c r="AG267" s="20"/>
      <c r="AH267" s="20"/>
      <c r="AI267" s="20"/>
      <c r="AJ267" s="20"/>
      <c r="AK267" s="20"/>
      <c r="AL267" s="20"/>
      <c r="AM267" s="20"/>
    </row>
    <row r="268" spans="1:39" x14ac:dyDescent="0.25">
      <c r="A268" s="20"/>
      <c r="B268" s="32"/>
      <c r="C268" s="32"/>
      <c r="D268" s="32"/>
      <c r="E268" s="32"/>
      <c r="F268" s="31"/>
      <c r="G268" s="32"/>
      <c r="H268" s="32"/>
      <c r="I268" s="32"/>
      <c r="J268" s="32"/>
      <c r="K268" s="32"/>
      <c r="L268" s="32"/>
      <c r="M268" s="32"/>
      <c r="N268" s="32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  <c r="AF268" s="20"/>
      <c r="AG268" s="20"/>
      <c r="AH268" s="20"/>
      <c r="AI268" s="20"/>
      <c r="AJ268" s="20"/>
      <c r="AK268" s="20"/>
      <c r="AL268" s="20"/>
      <c r="AM268" s="20"/>
    </row>
    <row r="269" spans="1:39" x14ac:dyDescent="0.25">
      <c r="A269" s="20"/>
      <c r="B269" s="32"/>
      <c r="C269" s="32"/>
      <c r="D269" s="32"/>
      <c r="E269" s="32"/>
      <c r="F269" s="31"/>
      <c r="G269" s="32"/>
      <c r="H269" s="32"/>
      <c r="I269" s="32"/>
      <c r="J269" s="32"/>
      <c r="K269" s="32"/>
      <c r="L269" s="32"/>
      <c r="M269" s="32"/>
      <c r="N269" s="32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20"/>
      <c r="AB269" s="20"/>
      <c r="AC269" s="20"/>
      <c r="AD269" s="20"/>
      <c r="AE269" s="20"/>
      <c r="AF269" s="20"/>
      <c r="AG269" s="20"/>
      <c r="AH269" s="20"/>
      <c r="AI269" s="20"/>
      <c r="AJ269" s="20"/>
      <c r="AK269" s="20"/>
      <c r="AL269" s="20"/>
      <c r="AM269" s="20"/>
    </row>
    <row r="270" spans="1:39" x14ac:dyDescent="0.25">
      <c r="A270" s="20"/>
      <c r="B270" s="32"/>
      <c r="C270" s="32"/>
      <c r="D270" s="32"/>
      <c r="E270" s="32"/>
      <c r="F270" s="31"/>
      <c r="G270" s="32"/>
      <c r="H270" s="32"/>
      <c r="I270" s="32"/>
      <c r="J270" s="32"/>
      <c r="K270" s="32"/>
      <c r="L270" s="32"/>
      <c r="M270" s="32"/>
      <c r="N270" s="32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20"/>
      <c r="AB270" s="20"/>
      <c r="AC270" s="20"/>
      <c r="AD270" s="20"/>
      <c r="AE270" s="20"/>
      <c r="AF270" s="20"/>
      <c r="AG270" s="20"/>
      <c r="AH270" s="20"/>
      <c r="AI270" s="20"/>
      <c r="AJ270" s="20"/>
      <c r="AK270" s="20"/>
      <c r="AL270" s="20"/>
      <c r="AM270" s="20"/>
    </row>
    <row r="271" spans="1:39" x14ac:dyDescent="0.25">
      <c r="A271" s="20"/>
      <c r="B271" s="32"/>
      <c r="C271" s="32"/>
      <c r="D271" s="32"/>
      <c r="E271" s="32"/>
      <c r="F271" s="31"/>
      <c r="G271" s="32"/>
      <c r="H271" s="32"/>
      <c r="I271" s="32"/>
      <c r="J271" s="32"/>
      <c r="K271" s="32"/>
      <c r="L271" s="32"/>
      <c r="M271" s="32"/>
      <c r="N271" s="32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20"/>
      <c r="AB271" s="20"/>
      <c r="AC271" s="20"/>
      <c r="AD271" s="20"/>
      <c r="AE271" s="20"/>
      <c r="AF271" s="20"/>
      <c r="AG271" s="20"/>
      <c r="AH271" s="20"/>
      <c r="AI271" s="20"/>
      <c r="AJ271" s="20"/>
      <c r="AK271" s="20"/>
      <c r="AL271" s="20"/>
      <c r="AM271" s="20"/>
    </row>
    <row r="272" spans="1:39" x14ac:dyDescent="0.25">
      <c r="A272" s="20"/>
      <c r="B272" s="32"/>
      <c r="C272" s="32"/>
      <c r="D272" s="32"/>
      <c r="E272" s="32"/>
      <c r="F272" s="31"/>
      <c r="G272" s="32"/>
      <c r="H272" s="32"/>
      <c r="I272" s="32"/>
      <c r="J272" s="32"/>
      <c r="K272" s="32"/>
      <c r="L272" s="32"/>
      <c r="M272" s="32"/>
      <c r="N272" s="32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  <c r="AF272" s="20"/>
      <c r="AG272" s="20"/>
      <c r="AH272" s="20"/>
      <c r="AI272" s="20"/>
      <c r="AJ272" s="20"/>
      <c r="AK272" s="20"/>
      <c r="AL272" s="20"/>
      <c r="AM272" s="20"/>
    </row>
    <row r="273" spans="1:39" x14ac:dyDescent="0.25">
      <c r="A273" s="20"/>
      <c r="B273" s="32"/>
      <c r="C273" s="32"/>
      <c r="D273" s="32"/>
      <c r="E273" s="32"/>
      <c r="F273" s="31"/>
      <c r="G273" s="32"/>
      <c r="H273" s="32"/>
      <c r="I273" s="32"/>
      <c r="J273" s="32"/>
      <c r="K273" s="32"/>
      <c r="L273" s="32"/>
      <c r="M273" s="32"/>
      <c r="N273" s="32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  <c r="AF273" s="20"/>
      <c r="AG273" s="20"/>
      <c r="AH273" s="20"/>
      <c r="AI273" s="20"/>
      <c r="AJ273" s="20"/>
      <c r="AK273" s="20"/>
      <c r="AL273" s="20"/>
      <c r="AM273" s="20"/>
    </row>
    <row r="274" spans="1:39" x14ac:dyDescent="0.25">
      <c r="A274" s="20"/>
      <c r="B274" s="32"/>
      <c r="C274" s="32"/>
      <c r="D274" s="32"/>
      <c r="E274" s="32"/>
      <c r="F274" s="31"/>
      <c r="G274" s="32"/>
      <c r="H274" s="32"/>
      <c r="I274" s="32"/>
      <c r="J274" s="32"/>
      <c r="K274" s="32"/>
      <c r="L274" s="32"/>
      <c r="M274" s="32"/>
      <c r="N274" s="32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20"/>
      <c r="AF274" s="20"/>
      <c r="AG274" s="20"/>
      <c r="AH274" s="20"/>
      <c r="AI274" s="20"/>
      <c r="AJ274" s="20"/>
      <c r="AK274" s="20"/>
      <c r="AL274" s="20"/>
      <c r="AM274" s="20"/>
    </row>
    <row r="275" spans="1:39" x14ac:dyDescent="0.25">
      <c r="A275" s="20"/>
      <c r="B275" s="32"/>
      <c r="C275" s="32"/>
      <c r="D275" s="32"/>
      <c r="E275" s="32"/>
      <c r="F275" s="31"/>
      <c r="G275" s="32"/>
      <c r="H275" s="32"/>
      <c r="I275" s="32"/>
      <c r="J275" s="32"/>
      <c r="K275" s="32"/>
      <c r="L275" s="32"/>
      <c r="M275" s="32"/>
      <c r="N275" s="32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20"/>
      <c r="AF275" s="20"/>
      <c r="AG275" s="20"/>
      <c r="AH275" s="20"/>
      <c r="AI275" s="20"/>
      <c r="AJ275" s="20"/>
      <c r="AK275" s="20"/>
      <c r="AL275" s="20"/>
      <c r="AM275" s="20"/>
    </row>
    <row r="276" spans="1:39" x14ac:dyDescent="0.25">
      <c r="A276" s="20"/>
      <c r="B276" s="32"/>
      <c r="C276" s="32"/>
      <c r="D276" s="32"/>
      <c r="E276" s="32"/>
      <c r="F276" s="31"/>
      <c r="G276" s="32"/>
      <c r="H276" s="32"/>
      <c r="I276" s="32"/>
      <c r="J276" s="32"/>
      <c r="K276" s="32"/>
      <c r="L276" s="32"/>
      <c r="M276" s="32"/>
      <c r="N276" s="32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  <c r="AF276" s="20"/>
      <c r="AG276" s="20"/>
      <c r="AH276" s="20"/>
      <c r="AI276" s="20"/>
      <c r="AJ276" s="20"/>
      <c r="AK276" s="20"/>
      <c r="AL276" s="20"/>
      <c r="AM276" s="20"/>
    </row>
    <row r="277" spans="1:39" x14ac:dyDescent="0.25">
      <c r="A277" s="20"/>
      <c r="B277" s="32"/>
      <c r="C277" s="32"/>
      <c r="D277" s="32"/>
      <c r="E277" s="32"/>
      <c r="F277" s="31"/>
      <c r="G277" s="32"/>
      <c r="H277" s="32"/>
      <c r="I277" s="32"/>
      <c r="J277" s="32"/>
      <c r="K277" s="32"/>
      <c r="L277" s="32"/>
      <c r="M277" s="32"/>
      <c r="N277" s="32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20"/>
      <c r="AF277" s="20"/>
      <c r="AG277" s="20"/>
      <c r="AH277" s="20"/>
      <c r="AI277" s="20"/>
      <c r="AJ277" s="20"/>
      <c r="AK277" s="20"/>
      <c r="AL277" s="20"/>
      <c r="AM277" s="20"/>
    </row>
    <row r="278" spans="1:39" x14ac:dyDescent="0.25">
      <c r="A278" s="20"/>
      <c r="B278" s="32"/>
      <c r="C278" s="32"/>
      <c r="D278" s="32"/>
      <c r="E278" s="32"/>
      <c r="F278" s="31"/>
      <c r="G278" s="32"/>
      <c r="H278" s="32"/>
      <c r="I278" s="32"/>
      <c r="J278" s="32"/>
      <c r="K278" s="32"/>
      <c r="L278" s="32"/>
      <c r="M278" s="32"/>
      <c r="N278" s="32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  <c r="AF278" s="20"/>
      <c r="AG278" s="20"/>
      <c r="AH278" s="20"/>
      <c r="AI278" s="20"/>
      <c r="AJ278" s="20"/>
      <c r="AK278" s="20"/>
      <c r="AL278" s="20"/>
      <c r="AM278" s="20"/>
    </row>
    <row r="279" spans="1:39" x14ac:dyDescent="0.25">
      <c r="A279" s="20"/>
      <c r="B279" s="32"/>
      <c r="C279" s="32"/>
      <c r="D279" s="32"/>
      <c r="E279" s="32"/>
      <c r="F279" s="31"/>
      <c r="G279" s="32"/>
      <c r="H279" s="32"/>
      <c r="I279" s="32"/>
      <c r="J279" s="32"/>
      <c r="K279" s="32"/>
      <c r="L279" s="32"/>
      <c r="M279" s="32"/>
      <c r="N279" s="32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  <c r="AF279" s="20"/>
      <c r="AG279" s="20"/>
      <c r="AH279" s="20"/>
      <c r="AI279" s="20"/>
      <c r="AJ279" s="20"/>
      <c r="AK279" s="20"/>
      <c r="AL279" s="20"/>
      <c r="AM279" s="20"/>
    </row>
    <row r="280" spans="1:39" x14ac:dyDescent="0.25">
      <c r="A280" s="20"/>
      <c r="B280" s="32"/>
      <c r="C280" s="32"/>
      <c r="D280" s="32"/>
      <c r="E280" s="32"/>
      <c r="F280" s="31"/>
      <c r="G280" s="32"/>
      <c r="H280" s="32"/>
      <c r="I280" s="32"/>
      <c r="J280" s="32"/>
      <c r="K280" s="32"/>
      <c r="L280" s="32"/>
      <c r="M280" s="32"/>
      <c r="N280" s="32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20"/>
      <c r="AF280" s="20"/>
      <c r="AG280" s="20"/>
      <c r="AH280" s="20"/>
      <c r="AI280" s="20"/>
      <c r="AJ280" s="20"/>
      <c r="AK280" s="20"/>
      <c r="AL280" s="20"/>
      <c r="AM280" s="20"/>
    </row>
    <row r="281" spans="1:39" x14ac:dyDescent="0.25">
      <c r="A281" s="20"/>
      <c r="B281" s="32"/>
      <c r="C281" s="32"/>
      <c r="D281" s="32"/>
      <c r="E281" s="32"/>
      <c r="F281" s="31"/>
      <c r="G281" s="32"/>
      <c r="H281" s="32"/>
      <c r="I281" s="32"/>
      <c r="J281" s="32"/>
      <c r="K281" s="32"/>
      <c r="L281" s="32"/>
      <c r="M281" s="32"/>
      <c r="N281" s="32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20"/>
      <c r="AF281" s="20"/>
      <c r="AG281" s="20"/>
      <c r="AH281" s="20"/>
      <c r="AI281" s="20"/>
      <c r="AJ281" s="20"/>
      <c r="AK281" s="20"/>
      <c r="AL281" s="20"/>
      <c r="AM281" s="20"/>
    </row>
    <row r="282" spans="1:39" x14ac:dyDescent="0.25">
      <c r="A282" s="20"/>
      <c r="B282" s="32"/>
      <c r="C282" s="32"/>
      <c r="D282" s="32"/>
      <c r="E282" s="32"/>
      <c r="F282" s="31"/>
      <c r="G282" s="32"/>
      <c r="H282" s="32"/>
      <c r="I282" s="32"/>
      <c r="J282" s="32"/>
      <c r="K282" s="32"/>
      <c r="L282" s="32"/>
      <c r="M282" s="32"/>
      <c r="N282" s="32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  <c r="AF282" s="20"/>
      <c r="AG282" s="20"/>
      <c r="AH282" s="20"/>
      <c r="AI282" s="20"/>
      <c r="AJ282" s="20"/>
      <c r="AK282" s="20"/>
      <c r="AL282" s="20"/>
      <c r="AM282" s="20"/>
    </row>
    <row r="283" spans="1:39" x14ac:dyDescent="0.25">
      <c r="A283" s="20"/>
      <c r="B283" s="32"/>
      <c r="C283" s="32"/>
      <c r="D283" s="32"/>
      <c r="E283" s="32"/>
      <c r="F283" s="31"/>
      <c r="G283" s="32"/>
      <c r="H283" s="32"/>
      <c r="I283" s="32"/>
      <c r="J283" s="32"/>
      <c r="K283" s="32"/>
      <c r="L283" s="32"/>
      <c r="M283" s="32"/>
      <c r="N283" s="32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  <c r="AD283" s="20"/>
      <c r="AE283" s="20"/>
      <c r="AF283" s="20"/>
      <c r="AG283" s="20"/>
      <c r="AH283" s="20"/>
      <c r="AI283" s="20"/>
      <c r="AJ283" s="20"/>
      <c r="AK283" s="20"/>
      <c r="AL283" s="20"/>
      <c r="AM283" s="20"/>
    </row>
    <row r="284" spans="1:39" x14ac:dyDescent="0.25">
      <c r="A284" s="20"/>
      <c r="B284" s="32"/>
      <c r="C284" s="32"/>
      <c r="D284" s="32"/>
      <c r="E284" s="32"/>
      <c r="F284" s="31"/>
      <c r="G284" s="32"/>
      <c r="H284" s="32"/>
      <c r="I284" s="32"/>
      <c r="J284" s="32"/>
      <c r="K284" s="32"/>
      <c r="L284" s="32"/>
      <c r="M284" s="32"/>
      <c r="N284" s="32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20"/>
      <c r="AF284" s="20"/>
      <c r="AG284" s="20"/>
      <c r="AH284" s="20"/>
      <c r="AI284" s="20"/>
      <c r="AJ284" s="20"/>
      <c r="AK284" s="20"/>
      <c r="AL284" s="20"/>
      <c r="AM284" s="20"/>
    </row>
    <row r="285" spans="1:39" x14ac:dyDescent="0.25">
      <c r="A285" s="20"/>
      <c r="B285" s="32"/>
      <c r="C285" s="32"/>
      <c r="D285" s="32"/>
      <c r="E285" s="32"/>
      <c r="F285" s="31"/>
      <c r="G285" s="32"/>
      <c r="H285" s="32"/>
      <c r="I285" s="32"/>
      <c r="J285" s="32"/>
      <c r="K285" s="32"/>
      <c r="L285" s="32"/>
      <c r="M285" s="32"/>
      <c r="N285" s="32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20"/>
      <c r="AF285" s="20"/>
      <c r="AG285" s="20"/>
      <c r="AH285" s="20"/>
      <c r="AI285" s="20"/>
      <c r="AJ285" s="20"/>
      <c r="AK285" s="20"/>
      <c r="AL285" s="20"/>
      <c r="AM285" s="20"/>
    </row>
    <row r="286" spans="1:39" x14ac:dyDescent="0.25">
      <c r="A286" s="20"/>
      <c r="B286" s="32"/>
      <c r="C286" s="32"/>
      <c r="D286" s="32"/>
      <c r="E286" s="32"/>
      <c r="F286" s="31"/>
      <c r="G286" s="32"/>
      <c r="H286" s="32"/>
      <c r="I286" s="32"/>
      <c r="J286" s="32"/>
      <c r="K286" s="32"/>
      <c r="L286" s="32"/>
      <c r="M286" s="32"/>
      <c r="N286" s="32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20"/>
      <c r="AF286" s="20"/>
      <c r="AG286" s="20"/>
      <c r="AH286" s="20"/>
      <c r="AI286" s="20"/>
      <c r="AJ286" s="20"/>
      <c r="AK286" s="20"/>
      <c r="AL286" s="20"/>
      <c r="AM286" s="20"/>
    </row>
    <row r="287" spans="1:39" x14ac:dyDescent="0.25">
      <c r="A287" s="20"/>
      <c r="B287" s="32"/>
      <c r="C287" s="32"/>
      <c r="D287" s="32"/>
      <c r="E287" s="32"/>
      <c r="F287" s="31"/>
      <c r="G287" s="32"/>
      <c r="H287" s="32"/>
      <c r="I287" s="32"/>
      <c r="J287" s="32"/>
      <c r="K287" s="32"/>
      <c r="L287" s="32"/>
      <c r="M287" s="32"/>
      <c r="N287" s="32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  <c r="AF287" s="20"/>
      <c r="AG287" s="20"/>
      <c r="AH287" s="20"/>
      <c r="AI287" s="20"/>
      <c r="AJ287" s="20"/>
      <c r="AK287" s="20"/>
      <c r="AL287" s="20"/>
      <c r="AM287" s="20"/>
    </row>
    <row r="288" spans="1:39" x14ac:dyDescent="0.25">
      <c r="A288" s="20"/>
      <c r="B288" s="32"/>
      <c r="C288" s="32"/>
      <c r="D288" s="32"/>
      <c r="E288" s="32"/>
      <c r="F288" s="31"/>
      <c r="G288" s="32"/>
      <c r="H288" s="32"/>
      <c r="I288" s="32"/>
      <c r="J288" s="32"/>
      <c r="K288" s="32"/>
      <c r="L288" s="32"/>
      <c r="M288" s="32"/>
      <c r="N288" s="32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  <c r="AG288" s="20"/>
      <c r="AH288" s="20"/>
      <c r="AI288" s="20"/>
      <c r="AJ288" s="20"/>
      <c r="AK288" s="20"/>
      <c r="AL288" s="20"/>
      <c r="AM288" s="20"/>
    </row>
    <row r="289" spans="1:39" x14ac:dyDescent="0.25">
      <c r="A289" s="20"/>
      <c r="B289" s="32"/>
      <c r="C289" s="32"/>
      <c r="D289" s="32"/>
      <c r="E289" s="32"/>
      <c r="F289" s="31"/>
      <c r="G289" s="32"/>
      <c r="H289" s="32"/>
      <c r="I289" s="32"/>
      <c r="J289" s="32"/>
      <c r="K289" s="32"/>
      <c r="L289" s="32"/>
      <c r="M289" s="32"/>
      <c r="N289" s="32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20"/>
      <c r="AF289" s="20"/>
      <c r="AG289" s="20"/>
      <c r="AH289" s="20"/>
      <c r="AI289" s="20"/>
      <c r="AJ289" s="20"/>
      <c r="AK289" s="20"/>
      <c r="AL289" s="20"/>
      <c r="AM289" s="20"/>
    </row>
    <row r="290" spans="1:39" x14ac:dyDescent="0.25">
      <c r="A290" s="20"/>
      <c r="B290" s="32"/>
      <c r="C290" s="32"/>
      <c r="D290" s="32"/>
      <c r="E290" s="32"/>
      <c r="F290" s="31"/>
      <c r="G290" s="32"/>
      <c r="H290" s="32"/>
      <c r="I290" s="32"/>
      <c r="J290" s="32"/>
      <c r="K290" s="32"/>
      <c r="L290" s="32"/>
      <c r="M290" s="32"/>
      <c r="N290" s="32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20"/>
      <c r="AF290" s="20"/>
      <c r="AG290" s="20"/>
      <c r="AH290" s="20"/>
      <c r="AI290" s="20"/>
      <c r="AJ290" s="20"/>
      <c r="AK290" s="20"/>
      <c r="AL290" s="20"/>
      <c r="AM290" s="20"/>
    </row>
    <row r="291" spans="1:39" x14ac:dyDescent="0.25">
      <c r="A291" s="20"/>
      <c r="B291" s="32"/>
      <c r="C291" s="32"/>
      <c r="D291" s="32"/>
      <c r="E291" s="32"/>
      <c r="F291" s="31"/>
      <c r="G291" s="32"/>
      <c r="H291" s="32"/>
      <c r="I291" s="32"/>
      <c r="J291" s="32"/>
      <c r="K291" s="32"/>
      <c r="L291" s="32"/>
      <c r="M291" s="32"/>
      <c r="N291" s="32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  <c r="AF291" s="20"/>
      <c r="AG291" s="20"/>
      <c r="AH291" s="20"/>
      <c r="AI291" s="20"/>
      <c r="AJ291" s="20"/>
      <c r="AK291" s="20"/>
      <c r="AL291" s="20"/>
      <c r="AM291" s="20"/>
    </row>
    <row r="292" spans="1:39" x14ac:dyDescent="0.25">
      <c r="A292" s="20"/>
      <c r="B292" s="32"/>
      <c r="C292" s="32"/>
      <c r="D292" s="32"/>
      <c r="E292" s="32"/>
      <c r="F292" s="31"/>
      <c r="G292" s="32"/>
      <c r="H292" s="32"/>
      <c r="I292" s="32"/>
      <c r="J292" s="32"/>
      <c r="K292" s="32"/>
      <c r="L292" s="32"/>
      <c r="M292" s="32"/>
      <c r="N292" s="32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20"/>
      <c r="AF292" s="20"/>
      <c r="AG292" s="20"/>
      <c r="AH292" s="20"/>
      <c r="AI292" s="20"/>
      <c r="AJ292" s="20"/>
      <c r="AK292" s="20"/>
      <c r="AL292" s="20"/>
      <c r="AM292" s="20"/>
    </row>
    <row r="293" spans="1:39" x14ac:dyDescent="0.25">
      <c r="A293" s="20"/>
      <c r="B293" s="32"/>
      <c r="C293" s="32"/>
      <c r="D293" s="32"/>
      <c r="E293" s="32"/>
      <c r="F293" s="31"/>
      <c r="G293" s="32"/>
      <c r="H293" s="32"/>
      <c r="I293" s="32"/>
      <c r="J293" s="32"/>
      <c r="K293" s="32"/>
      <c r="L293" s="32"/>
      <c r="M293" s="32"/>
      <c r="N293" s="32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/>
      <c r="AF293" s="20"/>
      <c r="AG293" s="20"/>
      <c r="AH293" s="20"/>
      <c r="AI293" s="20"/>
      <c r="AJ293" s="20"/>
      <c r="AK293" s="20"/>
      <c r="AL293" s="20"/>
      <c r="AM293" s="20"/>
    </row>
    <row r="294" spans="1:39" x14ac:dyDescent="0.25">
      <c r="A294" s="20"/>
      <c r="B294" s="32"/>
      <c r="C294" s="32"/>
      <c r="D294" s="32"/>
      <c r="E294" s="32"/>
      <c r="F294" s="31"/>
      <c r="G294" s="32"/>
      <c r="H294" s="32"/>
      <c r="I294" s="32"/>
      <c r="J294" s="32"/>
      <c r="K294" s="32"/>
      <c r="L294" s="32"/>
      <c r="M294" s="32"/>
      <c r="N294" s="32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20"/>
      <c r="AF294" s="20"/>
      <c r="AG294" s="20"/>
      <c r="AH294" s="20"/>
      <c r="AI294" s="20"/>
      <c r="AJ294" s="20"/>
      <c r="AK294" s="20"/>
      <c r="AL294" s="20"/>
      <c r="AM294" s="20"/>
    </row>
    <row r="295" spans="1:39" x14ac:dyDescent="0.25">
      <c r="A295" s="20"/>
      <c r="B295" s="32"/>
      <c r="C295" s="32"/>
      <c r="D295" s="32"/>
      <c r="E295" s="32"/>
      <c r="F295" s="31"/>
      <c r="G295" s="32"/>
      <c r="H295" s="32"/>
      <c r="I295" s="32"/>
      <c r="J295" s="32"/>
      <c r="K295" s="32"/>
      <c r="L295" s="32"/>
      <c r="M295" s="32"/>
      <c r="N295" s="32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/>
      <c r="AF295" s="20"/>
      <c r="AG295" s="20"/>
      <c r="AH295" s="20"/>
      <c r="AI295" s="20"/>
      <c r="AJ295" s="20"/>
      <c r="AK295" s="20"/>
      <c r="AL295" s="20"/>
      <c r="AM295" s="20"/>
    </row>
    <row r="296" spans="1:39" x14ac:dyDescent="0.25">
      <c r="A296" s="20"/>
      <c r="B296" s="32"/>
      <c r="C296" s="32"/>
      <c r="D296" s="32"/>
      <c r="E296" s="32"/>
      <c r="F296" s="31"/>
      <c r="G296" s="32"/>
      <c r="H296" s="32"/>
      <c r="I296" s="32"/>
      <c r="J296" s="32"/>
      <c r="K296" s="32"/>
      <c r="L296" s="32"/>
      <c r="M296" s="32"/>
      <c r="N296" s="32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20"/>
      <c r="AF296" s="20"/>
      <c r="AG296" s="20"/>
      <c r="AH296" s="20"/>
      <c r="AI296" s="20"/>
      <c r="AJ296" s="20"/>
      <c r="AK296" s="20"/>
      <c r="AL296" s="20"/>
      <c r="AM296" s="20"/>
    </row>
    <row r="297" spans="1:39" x14ac:dyDescent="0.25">
      <c r="A297" s="20"/>
      <c r="B297" s="32"/>
      <c r="C297" s="32"/>
      <c r="D297" s="32"/>
      <c r="E297" s="32"/>
      <c r="F297" s="31"/>
      <c r="G297" s="32"/>
      <c r="H297" s="32"/>
      <c r="I297" s="32"/>
      <c r="J297" s="32"/>
      <c r="K297" s="32"/>
      <c r="L297" s="32"/>
      <c r="M297" s="32"/>
      <c r="N297" s="32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20"/>
      <c r="AF297" s="20"/>
      <c r="AG297" s="20"/>
      <c r="AH297" s="20"/>
      <c r="AI297" s="20"/>
      <c r="AJ297" s="20"/>
      <c r="AK297" s="20"/>
      <c r="AL297" s="20"/>
      <c r="AM297" s="20"/>
    </row>
    <row r="298" spans="1:39" x14ac:dyDescent="0.25">
      <c r="A298" s="20"/>
      <c r="B298" s="32"/>
      <c r="C298" s="32"/>
      <c r="D298" s="32"/>
      <c r="E298" s="32"/>
      <c r="F298" s="31"/>
      <c r="G298" s="32"/>
      <c r="H298" s="32"/>
      <c r="I298" s="32"/>
      <c r="J298" s="32"/>
      <c r="K298" s="32"/>
      <c r="L298" s="32"/>
      <c r="M298" s="32"/>
      <c r="N298" s="32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  <c r="AD298" s="20"/>
      <c r="AE298" s="20"/>
      <c r="AF298" s="20"/>
      <c r="AG298" s="20"/>
      <c r="AH298" s="20"/>
      <c r="AI298" s="20"/>
      <c r="AJ298" s="20"/>
      <c r="AK298" s="20"/>
      <c r="AL298" s="20"/>
      <c r="AM298" s="20"/>
    </row>
    <row r="299" spans="1:39" x14ac:dyDescent="0.25">
      <c r="A299" s="20"/>
      <c r="B299" s="32"/>
      <c r="C299" s="32"/>
      <c r="D299" s="32"/>
      <c r="E299" s="32"/>
      <c r="F299" s="31"/>
      <c r="G299" s="32"/>
      <c r="H299" s="32"/>
      <c r="I299" s="32"/>
      <c r="J299" s="32"/>
      <c r="K299" s="32"/>
      <c r="L299" s="32"/>
      <c r="M299" s="32"/>
      <c r="N299" s="32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20"/>
      <c r="AF299" s="20"/>
      <c r="AG299" s="20"/>
      <c r="AH299" s="20"/>
      <c r="AI299" s="20"/>
      <c r="AJ299" s="20"/>
      <c r="AK299" s="20"/>
      <c r="AL299" s="20"/>
      <c r="AM299" s="20"/>
    </row>
    <row r="300" spans="1:39" x14ac:dyDescent="0.25">
      <c r="A300" s="20"/>
      <c r="B300" s="32"/>
      <c r="C300" s="32"/>
      <c r="D300" s="32"/>
      <c r="E300" s="32"/>
      <c r="F300" s="31"/>
      <c r="G300" s="32"/>
      <c r="H300" s="32"/>
      <c r="I300" s="32"/>
      <c r="J300" s="32"/>
      <c r="K300" s="32"/>
      <c r="L300" s="32"/>
      <c r="M300" s="32"/>
      <c r="N300" s="32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  <c r="AD300" s="20"/>
      <c r="AE300" s="20"/>
      <c r="AF300" s="20"/>
      <c r="AG300" s="20"/>
      <c r="AH300" s="20"/>
      <c r="AI300" s="20"/>
      <c r="AJ300" s="20"/>
      <c r="AK300" s="20"/>
      <c r="AL300" s="20"/>
      <c r="AM300" s="20"/>
    </row>
    <row r="301" spans="1:39" x14ac:dyDescent="0.25">
      <c r="A301" s="20"/>
      <c r="B301" s="32"/>
      <c r="C301" s="32"/>
      <c r="D301" s="32"/>
      <c r="E301" s="32"/>
      <c r="F301" s="31"/>
      <c r="G301" s="32"/>
      <c r="H301" s="32"/>
      <c r="I301" s="32"/>
      <c r="J301" s="32"/>
      <c r="K301" s="32"/>
      <c r="L301" s="32"/>
      <c r="M301" s="32"/>
      <c r="N301" s="32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  <c r="AD301" s="20"/>
      <c r="AE301" s="20"/>
      <c r="AF301" s="20"/>
      <c r="AG301" s="20"/>
      <c r="AH301" s="20"/>
      <c r="AI301" s="20"/>
      <c r="AJ301" s="20"/>
      <c r="AK301" s="20"/>
      <c r="AL301" s="20"/>
      <c r="AM301" s="20"/>
    </row>
    <row r="302" spans="1:39" x14ac:dyDescent="0.25">
      <c r="A302" s="20"/>
      <c r="B302" s="32"/>
      <c r="C302" s="32"/>
      <c r="D302" s="32"/>
      <c r="E302" s="32"/>
      <c r="F302" s="31"/>
      <c r="G302" s="32"/>
      <c r="H302" s="32"/>
      <c r="I302" s="32"/>
      <c r="J302" s="32"/>
      <c r="K302" s="32"/>
      <c r="L302" s="32"/>
      <c r="M302" s="32"/>
      <c r="N302" s="32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  <c r="AD302" s="20"/>
      <c r="AE302" s="20"/>
      <c r="AF302" s="20"/>
      <c r="AG302" s="20"/>
      <c r="AH302" s="20"/>
      <c r="AI302" s="20"/>
      <c r="AJ302" s="20"/>
      <c r="AK302" s="20"/>
      <c r="AL302" s="20"/>
      <c r="AM302" s="20"/>
    </row>
    <row r="303" spans="1:39" x14ac:dyDescent="0.25">
      <c r="A303" s="20"/>
      <c r="B303" s="32"/>
      <c r="C303" s="32"/>
      <c r="D303" s="32"/>
      <c r="E303" s="32"/>
      <c r="F303" s="31"/>
      <c r="G303" s="32"/>
      <c r="H303" s="32"/>
      <c r="I303" s="32"/>
      <c r="J303" s="32"/>
      <c r="K303" s="32"/>
      <c r="L303" s="32"/>
      <c r="M303" s="32"/>
      <c r="N303" s="32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/>
      <c r="AF303" s="20"/>
      <c r="AG303" s="20"/>
      <c r="AH303" s="20"/>
      <c r="AI303" s="20"/>
      <c r="AJ303" s="20"/>
      <c r="AK303" s="20"/>
      <c r="AL303" s="20"/>
      <c r="AM303" s="20"/>
    </row>
    <row r="304" spans="1:39" x14ac:dyDescent="0.25">
      <c r="A304" s="20"/>
      <c r="B304" s="32"/>
      <c r="C304" s="32"/>
      <c r="D304" s="32"/>
      <c r="E304" s="32"/>
      <c r="F304" s="31"/>
      <c r="G304" s="32"/>
      <c r="H304" s="32"/>
      <c r="I304" s="32"/>
      <c r="J304" s="32"/>
      <c r="K304" s="32"/>
      <c r="L304" s="32"/>
      <c r="M304" s="32"/>
      <c r="N304" s="32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20"/>
      <c r="AF304" s="20"/>
      <c r="AG304" s="20"/>
      <c r="AH304" s="20"/>
      <c r="AI304" s="20"/>
      <c r="AJ304" s="20"/>
      <c r="AK304" s="20"/>
      <c r="AL304" s="20"/>
      <c r="AM304" s="20"/>
    </row>
    <row r="305" spans="1:39" x14ac:dyDescent="0.25">
      <c r="A305" s="20"/>
      <c r="B305" s="32"/>
      <c r="C305" s="32"/>
      <c r="D305" s="32"/>
      <c r="E305" s="32"/>
      <c r="F305" s="31"/>
      <c r="G305" s="32"/>
      <c r="H305" s="32"/>
      <c r="I305" s="32"/>
      <c r="J305" s="32"/>
      <c r="K305" s="32"/>
      <c r="L305" s="32"/>
      <c r="M305" s="32"/>
      <c r="N305" s="32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  <c r="AH305" s="20"/>
      <c r="AI305" s="20"/>
      <c r="AJ305" s="20"/>
      <c r="AK305" s="20"/>
      <c r="AL305" s="20"/>
      <c r="AM305" s="20"/>
    </row>
    <row r="306" spans="1:39" x14ac:dyDescent="0.25">
      <c r="A306" s="20"/>
      <c r="B306" s="32"/>
      <c r="C306" s="32"/>
      <c r="D306" s="32"/>
      <c r="E306" s="32"/>
      <c r="F306" s="31"/>
      <c r="G306" s="32"/>
      <c r="H306" s="32"/>
      <c r="I306" s="32"/>
      <c r="J306" s="32"/>
      <c r="K306" s="32"/>
      <c r="L306" s="32"/>
      <c r="M306" s="32"/>
      <c r="N306" s="32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20"/>
      <c r="AF306" s="20"/>
      <c r="AG306" s="20"/>
      <c r="AH306" s="20"/>
      <c r="AI306" s="20"/>
      <c r="AJ306" s="20"/>
      <c r="AK306" s="20"/>
      <c r="AL306" s="20"/>
      <c r="AM306" s="20"/>
    </row>
    <row r="307" spans="1:39" x14ac:dyDescent="0.25">
      <c r="A307" s="20"/>
      <c r="B307" s="32"/>
      <c r="C307" s="32"/>
      <c r="D307" s="32"/>
      <c r="E307" s="32"/>
      <c r="F307" s="31"/>
      <c r="G307" s="32"/>
      <c r="H307" s="32"/>
      <c r="I307" s="32"/>
      <c r="J307" s="32"/>
      <c r="K307" s="32"/>
      <c r="L307" s="32"/>
      <c r="M307" s="32"/>
      <c r="N307" s="32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20"/>
      <c r="AF307" s="20"/>
      <c r="AG307" s="20"/>
      <c r="AH307" s="20"/>
      <c r="AI307" s="20"/>
      <c r="AJ307" s="20"/>
      <c r="AK307" s="20"/>
      <c r="AL307" s="20"/>
      <c r="AM307" s="20"/>
    </row>
    <row r="308" spans="1:39" x14ac:dyDescent="0.25">
      <c r="A308" s="20"/>
      <c r="B308" s="32"/>
      <c r="C308" s="32"/>
      <c r="D308" s="32"/>
      <c r="E308" s="32"/>
      <c r="F308" s="31"/>
      <c r="G308" s="32"/>
      <c r="H308" s="32"/>
      <c r="I308" s="32"/>
      <c r="J308" s="32"/>
      <c r="K308" s="32"/>
      <c r="L308" s="32"/>
      <c r="M308" s="32"/>
      <c r="N308" s="32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20"/>
      <c r="AB308" s="20"/>
      <c r="AC308" s="20"/>
      <c r="AD308" s="20"/>
      <c r="AE308" s="20"/>
      <c r="AF308" s="20"/>
      <c r="AG308" s="20"/>
      <c r="AH308" s="20"/>
      <c r="AI308" s="20"/>
      <c r="AJ308" s="20"/>
      <c r="AK308" s="20"/>
      <c r="AL308" s="20"/>
      <c r="AM308" s="20"/>
    </row>
    <row r="309" spans="1:39" x14ac:dyDescent="0.25">
      <c r="A309" s="20"/>
      <c r="B309" s="32"/>
      <c r="C309" s="32"/>
      <c r="D309" s="32"/>
      <c r="E309" s="32"/>
      <c r="F309" s="31"/>
      <c r="G309" s="32"/>
      <c r="H309" s="32"/>
      <c r="I309" s="32"/>
      <c r="J309" s="32"/>
      <c r="K309" s="32"/>
      <c r="L309" s="32"/>
      <c r="M309" s="32"/>
      <c r="N309" s="32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20"/>
      <c r="AF309" s="20"/>
      <c r="AG309" s="20"/>
      <c r="AH309" s="20"/>
      <c r="AI309" s="20"/>
      <c r="AJ309" s="20"/>
      <c r="AK309" s="20"/>
      <c r="AL309" s="20"/>
      <c r="AM309" s="20"/>
    </row>
    <row r="310" spans="1:39" x14ac:dyDescent="0.25">
      <c r="A310" s="20"/>
      <c r="B310" s="32"/>
      <c r="C310" s="32"/>
      <c r="D310" s="32"/>
      <c r="E310" s="32"/>
      <c r="F310" s="31"/>
      <c r="G310" s="32"/>
      <c r="H310" s="32"/>
      <c r="I310" s="32"/>
      <c r="J310" s="32"/>
      <c r="K310" s="32"/>
      <c r="L310" s="32"/>
      <c r="M310" s="32"/>
      <c r="N310" s="32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  <c r="AF310" s="20"/>
      <c r="AG310" s="20"/>
      <c r="AH310" s="20"/>
      <c r="AI310" s="20"/>
      <c r="AJ310" s="20"/>
      <c r="AK310" s="20"/>
      <c r="AL310" s="20"/>
      <c r="AM310" s="20"/>
    </row>
    <row r="311" spans="1:39" x14ac:dyDescent="0.25">
      <c r="A311" s="20"/>
      <c r="B311" s="32"/>
      <c r="C311" s="32"/>
      <c r="D311" s="32"/>
      <c r="E311" s="32"/>
      <c r="F311" s="31"/>
      <c r="G311" s="32"/>
      <c r="H311" s="32"/>
      <c r="I311" s="32"/>
      <c r="J311" s="32"/>
      <c r="K311" s="32"/>
      <c r="L311" s="32"/>
      <c r="M311" s="32"/>
      <c r="N311" s="32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  <c r="AD311" s="20"/>
      <c r="AE311" s="20"/>
      <c r="AF311" s="20"/>
      <c r="AG311" s="20"/>
      <c r="AH311" s="20"/>
      <c r="AI311" s="20"/>
      <c r="AJ311" s="20"/>
      <c r="AK311" s="20"/>
      <c r="AL311" s="20"/>
      <c r="AM311" s="20"/>
    </row>
    <row r="312" spans="1:39" x14ac:dyDescent="0.25">
      <c r="A312" s="20"/>
      <c r="B312" s="32"/>
      <c r="C312" s="32"/>
      <c r="D312" s="32"/>
      <c r="E312" s="32"/>
      <c r="F312" s="31"/>
      <c r="G312" s="32"/>
      <c r="H312" s="32"/>
      <c r="I312" s="32"/>
      <c r="J312" s="32"/>
      <c r="K312" s="32"/>
      <c r="L312" s="32"/>
      <c r="M312" s="32"/>
      <c r="N312" s="32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  <c r="AF312" s="20"/>
      <c r="AG312" s="20"/>
      <c r="AH312" s="20"/>
      <c r="AI312" s="20"/>
      <c r="AJ312" s="20"/>
      <c r="AK312" s="20"/>
      <c r="AL312" s="20"/>
      <c r="AM312" s="20"/>
    </row>
    <row r="313" spans="1:39" x14ac:dyDescent="0.25">
      <c r="A313" s="20"/>
      <c r="B313" s="32"/>
      <c r="C313" s="32"/>
      <c r="D313" s="32"/>
      <c r="E313" s="32"/>
      <c r="F313" s="31"/>
      <c r="G313" s="32"/>
      <c r="H313" s="32"/>
      <c r="I313" s="32"/>
      <c r="J313" s="32"/>
      <c r="K313" s="32"/>
      <c r="L313" s="32"/>
      <c r="M313" s="32"/>
      <c r="N313" s="32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20"/>
      <c r="AB313" s="20"/>
      <c r="AC313" s="20"/>
      <c r="AD313" s="20"/>
      <c r="AE313" s="20"/>
      <c r="AF313" s="20"/>
      <c r="AG313" s="20"/>
      <c r="AH313" s="20"/>
      <c r="AI313" s="20"/>
      <c r="AJ313" s="20"/>
      <c r="AK313" s="20"/>
      <c r="AL313" s="20"/>
      <c r="AM313" s="20"/>
    </row>
    <row r="314" spans="1:39" x14ac:dyDescent="0.25">
      <c r="A314" s="20"/>
      <c r="B314" s="32"/>
      <c r="C314" s="32"/>
      <c r="D314" s="32"/>
      <c r="E314" s="32"/>
      <c r="F314" s="31"/>
      <c r="G314" s="32"/>
      <c r="H314" s="32"/>
      <c r="I314" s="32"/>
      <c r="J314" s="32"/>
      <c r="K314" s="32"/>
      <c r="L314" s="32"/>
      <c r="M314" s="32"/>
      <c r="N314" s="32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20"/>
      <c r="AB314" s="20"/>
      <c r="AC314" s="20"/>
      <c r="AD314" s="20"/>
      <c r="AE314" s="20"/>
      <c r="AF314" s="20"/>
      <c r="AG314" s="20"/>
      <c r="AH314" s="20"/>
      <c r="AI314" s="20"/>
      <c r="AJ314" s="20"/>
      <c r="AK314" s="20"/>
      <c r="AL314" s="20"/>
      <c r="AM314" s="20"/>
    </row>
    <row r="315" spans="1:39" x14ac:dyDescent="0.25">
      <c r="A315" s="20"/>
      <c r="B315" s="32"/>
      <c r="C315" s="32"/>
      <c r="D315" s="32"/>
      <c r="E315" s="32"/>
      <c r="F315" s="31"/>
      <c r="G315" s="32"/>
      <c r="H315" s="32"/>
      <c r="I315" s="32"/>
      <c r="J315" s="32"/>
      <c r="K315" s="32"/>
      <c r="L315" s="32"/>
      <c r="M315" s="32"/>
      <c r="N315" s="32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/>
      <c r="AF315" s="20"/>
      <c r="AG315" s="20"/>
      <c r="AH315" s="20"/>
      <c r="AI315" s="20"/>
      <c r="AJ315" s="20"/>
      <c r="AK315" s="20"/>
      <c r="AL315" s="20"/>
      <c r="AM315" s="20"/>
    </row>
    <row r="316" spans="1:39" x14ac:dyDescent="0.25">
      <c r="A316" s="20"/>
      <c r="B316" s="32"/>
      <c r="C316" s="32"/>
      <c r="D316" s="32"/>
      <c r="E316" s="32"/>
      <c r="F316" s="31"/>
      <c r="G316" s="32"/>
      <c r="H316" s="32"/>
      <c r="I316" s="32"/>
      <c r="J316" s="32"/>
      <c r="K316" s="32"/>
      <c r="L316" s="32"/>
      <c r="M316" s="32"/>
      <c r="N316" s="32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20"/>
      <c r="AB316" s="20"/>
      <c r="AC316" s="20"/>
      <c r="AD316" s="20"/>
      <c r="AE316" s="20"/>
      <c r="AF316" s="20"/>
      <c r="AG316" s="20"/>
      <c r="AH316" s="20"/>
      <c r="AI316" s="20"/>
      <c r="AJ316" s="20"/>
      <c r="AK316" s="20"/>
      <c r="AL316" s="20"/>
      <c r="AM316" s="20"/>
    </row>
    <row r="317" spans="1:39" x14ac:dyDescent="0.25">
      <c r="A317" s="20"/>
      <c r="B317" s="32"/>
      <c r="C317" s="32"/>
      <c r="D317" s="32"/>
      <c r="E317" s="32"/>
      <c r="F317" s="31"/>
      <c r="G317" s="32"/>
      <c r="H317" s="32"/>
      <c r="I317" s="32"/>
      <c r="J317" s="32"/>
      <c r="K317" s="32"/>
      <c r="L317" s="32"/>
      <c r="M317" s="32"/>
      <c r="N317" s="32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20"/>
      <c r="AB317" s="20"/>
      <c r="AC317" s="20"/>
      <c r="AD317" s="20"/>
      <c r="AE317" s="20"/>
      <c r="AF317" s="20"/>
      <c r="AG317" s="20"/>
      <c r="AH317" s="20"/>
      <c r="AI317" s="20"/>
      <c r="AJ317" s="20"/>
      <c r="AK317" s="20"/>
      <c r="AL317" s="20"/>
      <c r="AM317" s="20"/>
    </row>
    <row r="318" spans="1:39" x14ac:dyDescent="0.25">
      <c r="A318" s="20"/>
      <c r="B318" s="32"/>
      <c r="C318" s="32"/>
      <c r="D318" s="32"/>
      <c r="E318" s="32"/>
      <c r="F318" s="31"/>
      <c r="G318" s="32"/>
      <c r="H318" s="32"/>
      <c r="I318" s="32"/>
      <c r="J318" s="32"/>
      <c r="K318" s="32"/>
      <c r="L318" s="32"/>
      <c r="M318" s="32"/>
      <c r="N318" s="32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20"/>
      <c r="AB318" s="20"/>
      <c r="AC318" s="20"/>
      <c r="AD318" s="20"/>
      <c r="AE318" s="20"/>
      <c r="AF318" s="20"/>
      <c r="AG318" s="20"/>
      <c r="AH318" s="20"/>
      <c r="AI318" s="20"/>
      <c r="AJ318" s="20"/>
      <c r="AK318" s="20"/>
      <c r="AL318" s="20"/>
      <c r="AM318" s="20"/>
    </row>
    <row r="319" spans="1:39" x14ac:dyDescent="0.25">
      <c r="A319" s="20"/>
      <c r="B319" s="32"/>
      <c r="C319" s="32"/>
      <c r="D319" s="32"/>
      <c r="E319" s="32"/>
      <c r="F319" s="31"/>
      <c r="G319" s="32"/>
      <c r="H319" s="32"/>
      <c r="I319" s="32"/>
      <c r="J319" s="32"/>
      <c r="K319" s="32"/>
      <c r="L319" s="32"/>
      <c r="M319" s="32"/>
      <c r="N319" s="32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  <c r="AD319" s="20"/>
      <c r="AE319" s="20"/>
      <c r="AF319" s="20"/>
      <c r="AG319" s="20"/>
      <c r="AH319" s="20"/>
      <c r="AI319" s="20"/>
      <c r="AJ319" s="20"/>
      <c r="AK319" s="20"/>
      <c r="AL319" s="20"/>
      <c r="AM319" s="20"/>
    </row>
    <row r="320" spans="1:39" x14ac:dyDescent="0.25">
      <c r="A320" s="20"/>
      <c r="B320" s="32"/>
      <c r="C320" s="32"/>
      <c r="D320" s="32"/>
      <c r="E320" s="32"/>
      <c r="F320" s="31"/>
      <c r="G320" s="32"/>
      <c r="H320" s="32"/>
      <c r="I320" s="32"/>
      <c r="J320" s="32"/>
      <c r="K320" s="32"/>
      <c r="L320" s="32"/>
      <c r="M320" s="32"/>
      <c r="N320" s="32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20"/>
      <c r="AB320" s="20"/>
      <c r="AC320" s="20"/>
      <c r="AD320" s="20"/>
      <c r="AE320" s="20"/>
      <c r="AF320" s="20"/>
      <c r="AG320" s="20"/>
      <c r="AH320" s="20"/>
      <c r="AI320" s="20"/>
      <c r="AJ320" s="20"/>
      <c r="AK320" s="20"/>
      <c r="AL320" s="20"/>
      <c r="AM320" s="20"/>
    </row>
    <row r="321" spans="1:39" x14ac:dyDescent="0.25">
      <c r="A321" s="20"/>
      <c r="B321" s="32"/>
      <c r="C321" s="32"/>
      <c r="D321" s="32"/>
      <c r="E321" s="32"/>
      <c r="F321" s="31"/>
      <c r="G321" s="32"/>
      <c r="H321" s="32"/>
      <c r="I321" s="32"/>
      <c r="J321" s="32"/>
      <c r="K321" s="32"/>
      <c r="L321" s="32"/>
      <c r="M321" s="32"/>
      <c r="N321" s="32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  <c r="AD321" s="20"/>
      <c r="AE321" s="20"/>
      <c r="AF321" s="20"/>
      <c r="AG321" s="20"/>
      <c r="AH321" s="20"/>
      <c r="AI321" s="20"/>
      <c r="AJ321" s="20"/>
      <c r="AK321" s="20"/>
      <c r="AL321" s="20"/>
      <c r="AM321" s="20"/>
    </row>
    <row r="322" spans="1:39" x14ac:dyDescent="0.25">
      <c r="A322" s="20"/>
      <c r="B322" s="32"/>
      <c r="C322" s="32"/>
      <c r="D322" s="32"/>
      <c r="E322" s="32"/>
      <c r="F322" s="31"/>
      <c r="G322" s="32"/>
      <c r="H322" s="32"/>
      <c r="I322" s="32"/>
      <c r="J322" s="32"/>
      <c r="K322" s="32"/>
      <c r="L322" s="32"/>
      <c r="M322" s="32"/>
      <c r="N322" s="32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20"/>
      <c r="AB322" s="20"/>
      <c r="AC322" s="20"/>
      <c r="AD322" s="20"/>
      <c r="AE322" s="20"/>
      <c r="AF322" s="20"/>
      <c r="AG322" s="20"/>
      <c r="AH322" s="20"/>
      <c r="AI322" s="20"/>
      <c r="AJ322" s="20"/>
      <c r="AK322" s="20"/>
      <c r="AL322" s="20"/>
      <c r="AM322" s="20"/>
    </row>
    <row r="323" spans="1:39" x14ac:dyDescent="0.25">
      <c r="A323" s="20"/>
      <c r="B323" s="32"/>
      <c r="C323" s="32"/>
      <c r="D323" s="32"/>
      <c r="E323" s="32"/>
      <c r="F323" s="31"/>
      <c r="G323" s="32"/>
      <c r="H323" s="32"/>
      <c r="I323" s="32"/>
      <c r="J323" s="32"/>
      <c r="K323" s="32"/>
      <c r="L323" s="32"/>
      <c r="M323" s="32"/>
      <c r="N323" s="32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20"/>
      <c r="AB323" s="20"/>
      <c r="AC323" s="20"/>
      <c r="AD323" s="20"/>
      <c r="AE323" s="20"/>
      <c r="AF323" s="20"/>
      <c r="AG323" s="20"/>
      <c r="AH323" s="20"/>
      <c r="AI323" s="20"/>
      <c r="AJ323" s="20"/>
      <c r="AK323" s="20"/>
      <c r="AL323" s="20"/>
      <c r="AM323" s="20"/>
    </row>
    <row r="324" spans="1:39" x14ac:dyDescent="0.25">
      <c r="A324" s="20"/>
      <c r="B324" s="32"/>
      <c r="C324" s="32"/>
      <c r="D324" s="32"/>
      <c r="E324" s="32"/>
      <c r="F324" s="31"/>
      <c r="G324" s="32"/>
      <c r="H324" s="32"/>
      <c r="I324" s="32"/>
      <c r="J324" s="32"/>
      <c r="K324" s="32"/>
      <c r="L324" s="32"/>
      <c r="M324" s="32"/>
      <c r="N324" s="32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20"/>
      <c r="AB324" s="20"/>
      <c r="AC324" s="20"/>
      <c r="AD324" s="20"/>
      <c r="AE324" s="20"/>
      <c r="AF324" s="20"/>
      <c r="AG324" s="20"/>
      <c r="AH324" s="20"/>
      <c r="AI324" s="20"/>
      <c r="AJ324" s="20"/>
      <c r="AK324" s="20"/>
      <c r="AL324" s="20"/>
      <c r="AM324" s="20"/>
    </row>
    <row r="325" spans="1:39" x14ac:dyDescent="0.25">
      <c r="A325" s="20"/>
      <c r="B325" s="32"/>
      <c r="C325" s="32"/>
      <c r="D325" s="32"/>
      <c r="E325" s="32"/>
      <c r="F325" s="31"/>
      <c r="G325" s="32"/>
      <c r="H325" s="32"/>
      <c r="I325" s="32"/>
      <c r="J325" s="32"/>
      <c r="K325" s="32"/>
      <c r="L325" s="32"/>
      <c r="M325" s="32"/>
      <c r="N325" s="32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20"/>
      <c r="AB325" s="20"/>
      <c r="AC325" s="20"/>
      <c r="AD325" s="20"/>
      <c r="AE325" s="20"/>
      <c r="AF325" s="20"/>
      <c r="AG325" s="20"/>
      <c r="AH325" s="20"/>
      <c r="AI325" s="20"/>
      <c r="AJ325" s="20"/>
      <c r="AK325" s="20"/>
      <c r="AL325" s="20"/>
      <c r="AM325" s="20"/>
    </row>
    <row r="326" spans="1:39" x14ac:dyDescent="0.25">
      <c r="A326" s="20"/>
      <c r="B326" s="32"/>
      <c r="C326" s="32"/>
      <c r="D326" s="32"/>
      <c r="E326" s="32"/>
      <c r="F326" s="31"/>
      <c r="G326" s="32"/>
      <c r="H326" s="32"/>
      <c r="I326" s="32"/>
      <c r="J326" s="32"/>
      <c r="K326" s="32"/>
      <c r="L326" s="32"/>
      <c r="M326" s="32"/>
      <c r="N326" s="32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20"/>
      <c r="AB326" s="20"/>
      <c r="AC326" s="20"/>
      <c r="AD326" s="20"/>
      <c r="AE326" s="20"/>
      <c r="AF326" s="20"/>
      <c r="AG326" s="20"/>
      <c r="AH326" s="20"/>
      <c r="AI326" s="20"/>
      <c r="AJ326" s="20"/>
      <c r="AK326" s="20"/>
      <c r="AL326" s="20"/>
      <c r="AM326" s="20"/>
    </row>
    <row r="327" spans="1:39" x14ac:dyDescent="0.25">
      <c r="A327" s="20"/>
      <c r="B327" s="32"/>
      <c r="C327" s="32"/>
      <c r="D327" s="32"/>
      <c r="E327" s="32"/>
      <c r="F327" s="31"/>
      <c r="G327" s="32"/>
      <c r="H327" s="32"/>
      <c r="I327" s="32"/>
      <c r="J327" s="32"/>
      <c r="K327" s="32"/>
      <c r="L327" s="32"/>
      <c r="M327" s="32"/>
      <c r="N327" s="32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20"/>
      <c r="AB327" s="20"/>
      <c r="AC327" s="20"/>
      <c r="AD327" s="20"/>
      <c r="AE327" s="20"/>
      <c r="AF327" s="20"/>
      <c r="AG327" s="20"/>
      <c r="AH327" s="20"/>
      <c r="AI327" s="20"/>
      <c r="AJ327" s="20"/>
      <c r="AK327" s="20"/>
      <c r="AL327" s="20"/>
      <c r="AM327" s="20"/>
    </row>
    <row r="328" spans="1:39" x14ac:dyDescent="0.25">
      <c r="A328" s="20"/>
      <c r="B328" s="32"/>
      <c r="C328" s="32"/>
      <c r="D328" s="32"/>
      <c r="E328" s="32"/>
      <c r="F328" s="31"/>
      <c r="G328" s="32"/>
      <c r="H328" s="32"/>
      <c r="I328" s="32"/>
      <c r="J328" s="32"/>
      <c r="K328" s="32"/>
      <c r="L328" s="32"/>
      <c r="M328" s="32"/>
      <c r="N328" s="32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20"/>
      <c r="AB328" s="20"/>
      <c r="AC328" s="20"/>
      <c r="AD328" s="20"/>
      <c r="AE328" s="20"/>
      <c r="AF328" s="20"/>
      <c r="AG328" s="20"/>
      <c r="AH328" s="20"/>
      <c r="AI328" s="20"/>
      <c r="AJ328" s="20"/>
      <c r="AK328" s="20"/>
      <c r="AL328" s="20"/>
      <c r="AM328" s="20"/>
    </row>
    <row r="329" spans="1:39" x14ac:dyDescent="0.25">
      <c r="A329" s="20"/>
      <c r="B329" s="32"/>
      <c r="C329" s="32"/>
      <c r="D329" s="32"/>
      <c r="E329" s="32"/>
      <c r="F329" s="31"/>
      <c r="G329" s="32"/>
      <c r="H329" s="32"/>
      <c r="I329" s="32"/>
      <c r="J329" s="32"/>
      <c r="K329" s="32"/>
      <c r="L329" s="32"/>
      <c r="M329" s="32"/>
      <c r="N329" s="32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20"/>
      <c r="AB329" s="20"/>
      <c r="AC329" s="20"/>
      <c r="AD329" s="20"/>
      <c r="AE329" s="20"/>
      <c r="AF329" s="20"/>
      <c r="AG329" s="20"/>
      <c r="AH329" s="20"/>
      <c r="AI329" s="20"/>
      <c r="AJ329" s="20"/>
      <c r="AK329" s="20"/>
      <c r="AL329" s="20"/>
      <c r="AM329" s="20"/>
    </row>
    <row r="330" spans="1:39" x14ac:dyDescent="0.25">
      <c r="A330" s="20"/>
      <c r="B330" s="32"/>
      <c r="C330" s="32"/>
      <c r="D330" s="32"/>
      <c r="E330" s="32"/>
      <c r="F330" s="31"/>
      <c r="G330" s="32"/>
      <c r="H330" s="32"/>
      <c r="I330" s="32"/>
      <c r="J330" s="32"/>
      <c r="K330" s="32"/>
      <c r="L330" s="32"/>
      <c r="M330" s="32"/>
      <c r="N330" s="32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20"/>
      <c r="AB330" s="20"/>
      <c r="AC330" s="20"/>
      <c r="AD330" s="20"/>
      <c r="AE330" s="20"/>
      <c r="AF330" s="20"/>
      <c r="AG330" s="20"/>
      <c r="AH330" s="20"/>
      <c r="AI330" s="20"/>
      <c r="AJ330" s="20"/>
      <c r="AK330" s="20"/>
      <c r="AL330" s="20"/>
      <c r="AM330" s="20"/>
    </row>
    <row r="331" spans="1:39" x14ac:dyDescent="0.25">
      <c r="A331" s="20"/>
      <c r="B331" s="32"/>
      <c r="C331" s="32"/>
      <c r="D331" s="32"/>
      <c r="E331" s="32"/>
      <c r="F331" s="31"/>
      <c r="G331" s="32"/>
      <c r="H331" s="32"/>
      <c r="I331" s="32"/>
      <c r="J331" s="32"/>
      <c r="K331" s="32"/>
      <c r="L331" s="32"/>
      <c r="M331" s="32"/>
      <c r="N331" s="32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20"/>
      <c r="AB331" s="20"/>
      <c r="AC331" s="20"/>
      <c r="AD331" s="20"/>
      <c r="AE331" s="20"/>
      <c r="AF331" s="20"/>
      <c r="AG331" s="20"/>
      <c r="AH331" s="20"/>
      <c r="AI331" s="20"/>
      <c r="AJ331" s="20"/>
      <c r="AK331" s="20"/>
      <c r="AL331" s="20"/>
      <c r="AM331" s="20"/>
    </row>
    <row r="332" spans="1:39" x14ac:dyDescent="0.25">
      <c r="A332" s="20"/>
      <c r="B332" s="32"/>
      <c r="C332" s="32"/>
      <c r="D332" s="32"/>
      <c r="E332" s="32"/>
      <c r="F332" s="31"/>
      <c r="G332" s="32"/>
      <c r="H332" s="32"/>
      <c r="I332" s="32"/>
      <c r="J332" s="32"/>
      <c r="K332" s="32"/>
      <c r="L332" s="32"/>
      <c r="M332" s="32"/>
      <c r="N332" s="32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20"/>
      <c r="AB332" s="20"/>
      <c r="AC332" s="20"/>
      <c r="AD332" s="20"/>
      <c r="AE332" s="20"/>
      <c r="AF332" s="20"/>
      <c r="AG332" s="20"/>
      <c r="AH332" s="20"/>
      <c r="AI332" s="20"/>
      <c r="AJ332" s="20"/>
      <c r="AK332" s="20"/>
      <c r="AL332" s="20"/>
      <c r="AM332" s="20"/>
    </row>
    <row r="333" spans="1:39" x14ac:dyDescent="0.25">
      <c r="A333" s="20"/>
      <c r="B333" s="32"/>
      <c r="C333" s="32"/>
      <c r="D333" s="32"/>
      <c r="E333" s="32"/>
      <c r="F333" s="31"/>
      <c r="G333" s="32"/>
      <c r="H333" s="32"/>
      <c r="I333" s="32"/>
      <c r="J333" s="32"/>
      <c r="K333" s="32"/>
      <c r="L333" s="32"/>
      <c r="M333" s="32"/>
      <c r="N333" s="32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20"/>
      <c r="AB333" s="20"/>
      <c r="AC333" s="20"/>
      <c r="AD333" s="20"/>
      <c r="AE333" s="20"/>
      <c r="AF333" s="20"/>
      <c r="AG333" s="20"/>
      <c r="AH333" s="20"/>
      <c r="AI333" s="20"/>
      <c r="AJ333" s="20"/>
      <c r="AK333" s="20"/>
      <c r="AL333" s="20"/>
      <c r="AM333" s="20"/>
    </row>
    <row r="334" spans="1:39" x14ac:dyDescent="0.25">
      <c r="A334" s="20"/>
      <c r="B334" s="32"/>
      <c r="C334" s="32"/>
      <c r="D334" s="32"/>
      <c r="E334" s="32"/>
      <c r="F334" s="31"/>
      <c r="G334" s="32"/>
      <c r="H334" s="32"/>
      <c r="I334" s="32"/>
      <c r="J334" s="32"/>
      <c r="K334" s="32"/>
      <c r="L334" s="32"/>
      <c r="M334" s="32"/>
      <c r="N334" s="32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20"/>
      <c r="AB334" s="20"/>
      <c r="AC334" s="20"/>
      <c r="AD334" s="20"/>
      <c r="AE334" s="20"/>
      <c r="AF334" s="20"/>
      <c r="AG334" s="20"/>
      <c r="AH334" s="20"/>
      <c r="AI334" s="20"/>
      <c r="AJ334" s="20"/>
      <c r="AK334" s="20"/>
      <c r="AL334" s="20"/>
      <c r="AM334" s="20"/>
    </row>
    <row r="335" spans="1:39" x14ac:dyDescent="0.25">
      <c r="A335" s="20"/>
      <c r="B335" s="32"/>
      <c r="C335" s="32"/>
      <c r="D335" s="32"/>
      <c r="E335" s="32"/>
      <c r="F335" s="31"/>
      <c r="G335" s="32"/>
      <c r="H335" s="32"/>
      <c r="I335" s="32"/>
      <c r="J335" s="32"/>
      <c r="K335" s="32"/>
      <c r="L335" s="32"/>
      <c r="M335" s="32"/>
      <c r="N335" s="32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20"/>
      <c r="AB335" s="20"/>
      <c r="AC335" s="20"/>
      <c r="AD335" s="20"/>
      <c r="AE335" s="20"/>
      <c r="AF335" s="20"/>
      <c r="AG335" s="20"/>
      <c r="AH335" s="20"/>
      <c r="AI335" s="20"/>
      <c r="AJ335" s="20"/>
      <c r="AK335" s="20"/>
      <c r="AL335" s="20"/>
      <c r="AM335" s="20"/>
    </row>
  </sheetData>
  <mergeCells count="9">
    <mergeCell ref="R3:R4"/>
    <mergeCell ref="Q3:Q4"/>
    <mergeCell ref="B2:F5"/>
    <mergeCell ref="G3:H4"/>
    <mergeCell ref="K3:L3"/>
    <mergeCell ref="K4:L4"/>
    <mergeCell ref="N4:O4"/>
    <mergeCell ref="N3:O3"/>
    <mergeCell ref="I3:J4"/>
  </mergeCells>
  <conditionalFormatting sqref="I3">
    <cfRule type="expression" dxfId="69" priority="86">
      <formula>I3&lt;&gt;AK2</formula>
    </cfRule>
    <cfRule type="expression" dxfId="68" priority="87">
      <formula>I3=AK2</formula>
    </cfRule>
  </conditionalFormatting>
  <conditionalFormatting sqref="G7:G99">
    <cfRule type="cellIs" dxfId="67" priority="11" operator="greaterThan">
      <formula>0</formula>
    </cfRule>
  </conditionalFormatting>
  <conditionalFormatting sqref="H7:H99">
    <cfRule type="cellIs" dxfId="66" priority="10" operator="greaterThan">
      <formula>0</formula>
    </cfRule>
  </conditionalFormatting>
  <conditionalFormatting sqref="I7:J99">
    <cfRule type="cellIs" dxfId="65" priority="9" operator="greaterThan">
      <formula>0</formula>
    </cfRule>
  </conditionalFormatting>
  <conditionalFormatting sqref="K7:K99">
    <cfRule type="cellIs" dxfId="64" priority="8" operator="greaterThan">
      <formula>0</formula>
    </cfRule>
  </conditionalFormatting>
  <conditionalFormatting sqref="L7:L102">
    <cfRule type="cellIs" dxfId="63" priority="7" operator="greaterThan">
      <formula>0</formula>
    </cfRule>
  </conditionalFormatting>
  <conditionalFormatting sqref="M7:M102">
    <cfRule type="cellIs" dxfId="62" priority="6" operator="greaterThan">
      <formula>0</formula>
    </cfRule>
  </conditionalFormatting>
  <conditionalFormatting sqref="N7:N100">
    <cfRule type="cellIs" dxfId="61" priority="5" operator="greaterThan">
      <formula>0</formula>
    </cfRule>
  </conditionalFormatting>
  <conditionalFormatting sqref="F1:F1048576">
    <cfRule type="cellIs" dxfId="60" priority="2" operator="equal">
      <formula>"Bronze"</formula>
    </cfRule>
    <cfRule type="cellIs" dxfId="59" priority="3" operator="equal">
      <formula>"Silver"</formula>
    </cfRule>
    <cfRule type="cellIs" dxfId="58" priority="4" operator="equal">
      <formula>"Gold"</formula>
    </cfRule>
  </conditionalFormatting>
  <conditionalFormatting sqref="J7:J90">
    <cfRule type="cellIs" dxfId="57" priority="1" operator="greater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167"/>
  <sheetViews>
    <sheetView workbookViewId="0">
      <pane ySplit="8" topLeftCell="A9" activePane="bottomLeft" state="frozen"/>
      <selection pane="bottomLeft" activeCell="H4" sqref="H4"/>
    </sheetView>
  </sheetViews>
  <sheetFormatPr defaultRowHeight="15" x14ac:dyDescent="0.25"/>
  <cols>
    <col min="1" max="1" width="6.140625" customWidth="1"/>
    <col min="2" max="2" width="32.7109375" style="27" customWidth="1"/>
    <col min="3" max="3" width="35.85546875" style="27" customWidth="1"/>
    <col min="4" max="4" width="17.7109375" style="27" customWidth="1"/>
    <col min="5" max="5" width="17.140625" style="27" customWidth="1"/>
    <col min="6" max="6" width="15" style="27" bestFit="1" customWidth="1"/>
    <col min="7" max="7" width="13.42578125" style="27" customWidth="1"/>
    <col min="8" max="8" width="18.140625" style="27" bestFit="1" customWidth="1"/>
    <col min="9" max="9" width="17.42578125" style="27" bestFit="1" customWidth="1"/>
    <col min="10" max="10" width="18.5703125" style="27" bestFit="1" customWidth="1"/>
    <col min="11" max="11" width="8.5703125" style="27" customWidth="1"/>
    <col min="12" max="12" width="15.5703125" style="27" customWidth="1"/>
    <col min="13" max="14" width="15.5703125" customWidth="1"/>
    <col min="15" max="15" width="7.5703125" customWidth="1"/>
    <col min="16" max="16" width="47.85546875" customWidth="1"/>
    <col min="17" max="17" width="18.140625" customWidth="1"/>
  </cols>
  <sheetData>
    <row r="1" spans="1:19" ht="15.75" thickBot="1" x14ac:dyDescent="0.3">
      <c r="A1" s="20"/>
      <c r="B1" s="31"/>
      <c r="C1" s="31"/>
      <c r="D1" s="31"/>
      <c r="E1" s="31"/>
      <c r="F1" s="31"/>
      <c r="G1" s="32"/>
      <c r="H1" s="31"/>
      <c r="I1" s="31"/>
      <c r="J1" s="31"/>
      <c r="K1" s="31"/>
      <c r="L1" s="31"/>
      <c r="M1" s="20"/>
      <c r="N1" s="20"/>
      <c r="O1" s="20"/>
      <c r="P1" s="20"/>
    </row>
    <row r="2" spans="1:19" ht="15.75" customHeight="1" thickBot="1" x14ac:dyDescent="0.3">
      <c r="A2" s="20"/>
      <c r="B2" s="431" t="s">
        <v>95</v>
      </c>
      <c r="C2" s="432"/>
      <c r="D2" s="432"/>
      <c r="E2" s="77"/>
      <c r="F2" s="55"/>
      <c r="G2" s="55"/>
      <c r="H2" s="55"/>
      <c r="I2" s="55"/>
      <c r="J2" s="56"/>
      <c r="K2" s="31"/>
      <c r="L2" s="31"/>
      <c r="M2" s="20"/>
      <c r="N2" s="20"/>
      <c r="O2" s="20"/>
      <c r="P2" s="20"/>
    </row>
    <row r="3" spans="1:19" ht="15.75" customHeight="1" thickBot="1" x14ac:dyDescent="0.3">
      <c r="A3" s="20"/>
      <c r="B3" s="433"/>
      <c r="C3" s="434"/>
      <c r="D3" s="434"/>
      <c r="E3" s="450" t="s">
        <v>107</v>
      </c>
      <c r="F3" s="451"/>
      <c r="G3" s="452"/>
      <c r="H3" s="86" t="s">
        <v>150</v>
      </c>
      <c r="I3" s="38" t="s">
        <v>67</v>
      </c>
      <c r="J3" s="62"/>
      <c r="K3" s="31"/>
      <c r="L3" s="441" t="str">
        <f>IF(AND(((L15+L17+L19)/3)&gt;(H6-0.1),((M15+M17+M19)/3)&gt;(H5-0.1),((N15+N17+N19)/3)&gt;(H4-0.1)),"Bonus Eligible!","Not Bonus Eligible")</f>
        <v>Bonus Eligible!</v>
      </c>
      <c r="M3" s="442"/>
      <c r="N3" s="443"/>
      <c r="O3" s="20"/>
      <c r="P3" s="20"/>
    </row>
    <row r="4" spans="1:19" ht="15" customHeight="1" x14ac:dyDescent="0.25">
      <c r="A4" s="20"/>
      <c r="B4" s="433"/>
      <c r="C4" s="434"/>
      <c r="D4" s="434"/>
      <c r="E4" s="242" t="s">
        <v>96</v>
      </c>
      <c r="F4" s="453"/>
      <c r="G4" s="74">
        <f>COUNTIF(H9:H90,TRUE)</f>
        <v>0</v>
      </c>
      <c r="H4" s="82">
        <f>Home!M14</f>
        <v>5.166666666666667</v>
      </c>
      <c r="I4" s="35" t="str">
        <f>IF(G4&gt;H4-0.1,"Met","Not Met")</f>
        <v>Not Met</v>
      </c>
      <c r="J4" s="62"/>
      <c r="K4" s="31"/>
      <c r="L4" s="444"/>
      <c r="M4" s="445"/>
      <c r="N4" s="446"/>
      <c r="O4" s="20"/>
      <c r="P4" s="20"/>
    </row>
    <row r="5" spans="1:19" ht="15" customHeight="1" thickBot="1" x14ac:dyDescent="0.3">
      <c r="A5" s="20"/>
      <c r="B5" s="433"/>
      <c r="C5" s="434"/>
      <c r="D5" s="434"/>
      <c r="E5" s="454" t="s">
        <v>97</v>
      </c>
      <c r="F5" s="455"/>
      <c r="G5" s="75">
        <f>COUNTIF(I9:I90,TRUE)</f>
        <v>0</v>
      </c>
      <c r="H5" s="83">
        <f>Home!J14</f>
        <v>42</v>
      </c>
      <c r="I5" s="36" t="str">
        <f>IF(G5&gt;(H5-0.01),"Met","Not Met")</f>
        <v>Not Met</v>
      </c>
      <c r="J5" s="62"/>
      <c r="K5" s="31"/>
      <c r="L5" s="447"/>
      <c r="M5" s="448"/>
      <c r="N5" s="449"/>
      <c r="O5" s="20"/>
      <c r="P5" s="20"/>
    </row>
    <row r="6" spans="1:19" ht="15" customHeight="1" thickBot="1" x14ac:dyDescent="0.3">
      <c r="A6" s="20"/>
      <c r="B6" s="433"/>
      <c r="C6" s="434"/>
      <c r="D6" s="434"/>
      <c r="E6" s="456" t="s">
        <v>98</v>
      </c>
      <c r="F6" s="457"/>
      <c r="G6" s="76">
        <f>COUNTIF(J9:J90,TRUE)</f>
        <v>0</v>
      </c>
      <c r="H6" s="84">
        <f>Home!G14</f>
        <v>60</v>
      </c>
      <c r="I6" s="37" t="str">
        <f>IF(G6&gt;H6-0.1,"Met","Not Met")</f>
        <v>Not Met</v>
      </c>
      <c r="J6" s="62"/>
      <c r="K6" s="31"/>
      <c r="L6" s="40"/>
      <c r="M6" s="40"/>
      <c r="N6" s="40"/>
      <c r="O6" s="20"/>
      <c r="P6" s="20"/>
    </row>
    <row r="7" spans="1:19" ht="15.75" customHeight="1" x14ac:dyDescent="0.25">
      <c r="A7" s="20"/>
      <c r="B7" s="433"/>
      <c r="C7" s="434"/>
      <c r="D7" s="434"/>
      <c r="E7" s="78"/>
      <c r="F7" s="80"/>
      <c r="G7" s="80"/>
      <c r="H7" s="80"/>
      <c r="I7" s="80"/>
      <c r="J7" s="62"/>
      <c r="K7" s="32"/>
      <c r="L7" s="40"/>
      <c r="M7" s="40"/>
      <c r="N7" s="40"/>
      <c r="O7" s="20"/>
      <c r="P7" s="20"/>
    </row>
    <row r="8" spans="1:19" x14ac:dyDescent="0.25">
      <c r="A8" s="32"/>
      <c r="B8" s="44" t="s">
        <v>91</v>
      </c>
      <c r="C8" s="29" t="s">
        <v>8</v>
      </c>
      <c r="D8" s="29" t="s">
        <v>108</v>
      </c>
      <c r="E8" s="85" t="s">
        <v>157</v>
      </c>
      <c r="F8" s="29" t="s">
        <v>109</v>
      </c>
      <c r="G8" s="29" t="s">
        <v>92</v>
      </c>
      <c r="H8" s="29" t="s">
        <v>47</v>
      </c>
      <c r="I8" s="29" t="s">
        <v>93</v>
      </c>
      <c r="J8" s="45" t="s">
        <v>94</v>
      </c>
      <c r="K8" s="32"/>
      <c r="L8" s="31"/>
      <c r="M8" s="20"/>
      <c r="N8" s="20"/>
      <c r="O8" s="20"/>
      <c r="P8" s="20"/>
    </row>
    <row r="9" spans="1:19" ht="24" customHeight="1" thickBot="1" x14ac:dyDescent="0.3">
      <c r="A9" s="20"/>
      <c r="B9" s="46" t="s">
        <v>205</v>
      </c>
      <c r="C9" s="41" t="s">
        <v>207</v>
      </c>
      <c r="D9" s="39"/>
      <c r="E9" s="39"/>
      <c r="F9" s="39"/>
      <c r="G9" s="34" t="s">
        <v>18</v>
      </c>
      <c r="H9" s="30" t="b">
        <v>0</v>
      </c>
      <c r="I9" s="30" t="b">
        <v>0</v>
      </c>
      <c r="J9" s="47" t="b">
        <v>0</v>
      </c>
      <c r="K9" s="32"/>
      <c r="L9" s="31"/>
      <c r="M9" s="20"/>
      <c r="N9" s="20"/>
      <c r="O9" s="20"/>
      <c r="P9" s="20"/>
      <c r="Q9">
        <v>3</v>
      </c>
    </row>
    <row r="10" spans="1:19" ht="24" customHeight="1" thickBot="1" x14ac:dyDescent="0.3">
      <c r="A10" s="20"/>
      <c r="B10" s="46"/>
      <c r="C10" s="41" t="s">
        <v>207</v>
      </c>
      <c r="D10" s="39"/>
      <c r="E10" s="39"/>
      <c r="F10" s="39"/>
      <c r="G10" s="34" t="s">
        <v>18</v>
      </c>
      <c r="H10" s="30" t="b">
        <v>0</v>
      </c>
      <c r="I10" s="30"/>
      <c r="J10" s="47" t="b">
        <v>0</v>
      </c>
      <c r="K10" s="32"/>
      <c r="L10" s="435" t="s">
        <v>195</v>
      </c>
      <c r="M10" s="436"/>
      <c r="N10" s="437"/>
      <c r="O10" s="20"/>
      <c r="P10" s="20"/>
    </row>
    <row r="11" spans="1:19" ht="24" customHeight="1" thickBot="1" x14ac:dyDescent="0.3">
      <c r="A11" s="20"/>
      <c r="B11" s="46"/>
      <c r="C11" s="41" t="s">
        <v>207</v>
      </c>
      <c r="D11" s="39"/>
      <c r="E11" s="39"/>
      <c r="F11" s="39"/>
      <c r="G11" s="34" t="s">
        <v>18</v>
      </c>
      <c r="H11" s="30"/>
      <c r="I11" s="30" t="b">
        <v>0</v>
      </c>
      <c r="J11" s="47" t="b">
        <v>0</v>
      </c>
      <c r="K11" s="32"/>
      <c r="L11" s="123" t="s">
        <v>196</v>
      </c>
      <c r="M11" s="125" t="s">
        <v>197</v>
      </c>
      <c r="N11" s="124" t="s">
        <v>198</v>
      </c>
      <c r="O11" s="20"/>
      <c r="P11" s="20">
        <v>1</v>
      </c>
      <c r="Q11" t="e">
        <f>INDEX($S$15:$S$17,ROWS(P11:P11),Q9)</f>
        <v>#REF!</v>
      </c>
    </row>
    <row r="12" spans="1:19" ht="24" customHeight="1" thickBot="1" x14ac:dyDescent="0.3">
      <c r="A12" s="20"/>
      <c r="B12" s="46"/>
      <c r="C12" s="41" t="s">
        <v>207</v>
      </c>
      <c r="D12" s="39"/>
      <c r="E12" s="39"/>
      <c r="F12" s="39"/>
      <c r="G12" s="34" t="s">
        <v>18</v>
      </c>
      <c r="H12" s="30"/>
      <c r="I12" s="30"/>
      <c r="J12" s="47" t="b">
        <v>0</v>
      </c>
      <c r="K12" s="32"/>
      <c r="L12" s="126"/>
      <c r="M12" s="127"/>
      <c r="N12" s="42"/>
      <c r="O12" s="20"/>
      <c r="P12" s="20">
        <v>2</v>
      </c>
    </row>
    <row r="13" spans="1:19" ht="24" customHeight="1" thickBot="1" x14ac:dyDescent="0.3">
      <c r="A13" s="20"/>
      <c r="B13" s="46"/>
      <c r="C13" s="41" t="s">
        <v>207</v>
      </c>
      <c r="D13" s="39"/>
      <c r="E13" s="39"/>
      <c r="F13" s="39"/>
      <c r="G13" s="34" t="s">
        <v>18</v>
      </c>
      <c r="H13" s="30" t="b">
        <v>0</v>
      </c>
      <c r="I13" s="30" t="b">
        <v>0</v>
      </c>
      <c r="J13" s="47"/>
      <c r="K13" s="32"/>
      <c r="L13" s="438" t="s">
        <v>190</v>
      </c>
      <c r="M13" s="439"/>
      <c r="N13" s="440"/>
      <c r="O13" s="20"/>
      <c r="P13" s="20">
        <v>3</v>
      </c>
    </row>
    <row r="14" spans="1:19" ht="24" customHeight="1" x14ac:dyDescent="0.25">
      <c r="A14" s="20"/>
      <c r="B14" s="46"/>
      <c r="C14" s="41" t="s">
        <v>207</v>
      </c>
      <c r="D14" s="39"/>
      <c r="E14" s="39"/>
      <c r="F14" s="39"/>
      <c r="G14" s="34" t="s">
        <v>18</v>
      </c>
      <c r="H14" s="30"/>
      <c r="I14" s="30" t="b">
        <v>0</v>
      </c>
      <c r="J14" s="47" t="b">
        <v>0</v>
      </c>
      <c r="K14" s="33" t="s">
        <v>110</v>
      </c>
      <c r="L14" s="93" t="s">
        <v>177</v>
      </c>
      <c r="M14" s="91" t="s">
        <v>180</v>
      </c>
      <c r="N14" s="89" t="s">
        <v>183</v>
      </c>
      <c r="O14" s="20"/>
      <c r="P14" s="20"/>
      <c r="S14" t="s">
        <v>199</v>
      </c>
    </row>
    <row r="15" spans="1:19" ht="24" customHeight="1" x14ac:dyDescent="0.25">
      <c r="A15" s="20"/>
      <c r="B15" s="46"/>
      <c r="C15" s="41" t="s">
        <v>207</v>
      </c>
      <c r="D15" s="39"/>
      <c r="E15" s="39"/>
      <c r="F15" s="39"/>
      <c r="G15" s="34" t="s">
        <v>18</v>
      </c>
      <c r="H15" s="30"/>
      <c r="I15" s="30" t="b">
        <v>0</v>
      </c>
      <c r="J15" s="47" t="b">
        <v>0</v>
      </c>
      <c r="K15" s="33"/>
      <c r="L15" s="121">
        <v>60</v>
      </c>
      <c r="M15" s="121">
        <v>42</v>
      </c>
      <c r="N15" s="121">
        <v>0</v>
      </c>
      <c r="O15" s="20"/>
      <c r="P15" s="20"/>
      <c r="R15">
        <v>1</v>
      </c>
      <c r="S15">
        <f>L15</f>
        <v>60</v>
      </c>
    </row>
    <row r="16" spans="1:19" ht="24" customHeight="1" x14ac:dyDescent="0.25">
      <c r="A16" s="20"/>
      <c r="B16" s="46"/>
      <c r="C16" s="41" t="s">
        <v>207</v>
      </c>
      <c r="D16" s="39"/>
      <c r="E16" s="39"/>
      <c r="F16" s="39"/>
      <c r="G16" s="34" t="s">
        <v>18</v>
      </c>
      <c r="H16" s="30"/>
      <c r="I16" s="30" t="b">
        <v>0</v>
      </c>
      <c r="J16" s="47" t="b">
        <v>0</v>
      </c>
      <c r="K16" s="33"/>
      <c r="L16" s="94" t="s">
        <v>178</v>
      </c>
      <c r="M16" s="92" t="s">
        <v>181</v>
      </c>
      <c r="N16" s="90" t="s">
        <v>184</v>
      </c>
      <c r="O16" s="20"/>
      <c r="P16" s="20"/>
      <c r="R16">
        <v>2</v>
      </c>
      <c r="S16">
        <v>59</v>
      </c>
    </row>
    <row r="17" spans="1:19" ht="24" customHeight="1" x14ac:dyDescent="0.25">
      <c r="A17" s="20"/>
      <c r="B17" s="46"/>
      <c r="C17" s="41" t="s">
        <v>207</v>
      </c>
      <c r="D17" s="39"/>
      <c r="E17" s="39"/>
      <c r="F17" s="39"/>
      <c r="G17" s="34" t="s">
        <v>18</v>
      </c>
      <c r="H17" s="30"/>
      <c r="I17" s="30" t="b">
        <v>0</v>
      </c>
      <c r="J17" s="47" t="b">
        <v>0</v>
      </c>
      <c r="K17" s="33"/>
      <c r="L17" s="121">
        <v>60</v>
      </c>
      <c r="M17" s="121">
        <v>40</v>
      </c>
      <c r="N17" s="121">
        <v>6</v>
      </c>
      <c r="O17" s="20"/>
      <c r="P17" s="20"/>
      <c r="R17">
        <v>3</v>
      </c>
      <c r="S17">
        <v>58</v>
      </c>
    </row>
    <row r="18" spans="1:19" ht="24" customHeight="1" x14ac:dyDescent="0.25">
      <c r="A18" s="20"/>
      <c r="B18" s="46"/>
      <c r="C18" s="41" t="s">
        <v>207</v>
      </c>
      <c r="D18" s="39"/>
      <c r="E18" s="39"/>
      <c r="F18" s="39"/>
      <c r="G18" s="34" t="s">
        <v>18</v>
      </c>
      <c r="H18" s="30"/>
      <c r="I18" s="30" t="b">
        <v>0</v>
      </c>
      <c r="J18" s="47" t="b">
        <v>0</v>
      </c>
      <c r="K18" s="33"/>
      <c r="L18" s="94" t="s">
        <v>179</v>
      </c>
      <c r="M18" s="92" t="s">
        <v>182</v>
      </c>
      <c r="N18" s="90" t="s">
        <v>185</v>
      </c>
      <c r="O18" s="20"/>
      <c r="P18" s="20"/>
    </row>
    <row r="19" spans="1:19" ht="24" customHeight="1" thickBot="1" x14ac:dyDescent="0.3">
      <c r="A19" s="20"/>
      <c r="B19" s="46"/>
      <c r="C19" s="41" t="s">
        <v>207</v>
      </c>
      <c r="D19" s="39"/>
      <c r="E19" s="39"/>
      <c r="F19" s="39"/>
      <c r="G19" s="34" t="s">
        <v>18</v>
      </c>
      <c r="H19" s="30"/>
      <c r="I19" s="30" t="b">
        <v>0</v>
      </c>
      <c r="J19" s="47" t="b">
        <v>0</v>
      </c>
      <c r="K19" s="33"/>
      <c r="L19" s="37">
        <v>60</v>
      </c>
      <c r="M19" s="37">
        <v>52</v>
      </c>
      <c r="N19" s="37">
        <v>15</v>
      </c>
      <c r="O19" s="20"/>
      <c r="P19" s="20"/>
    </row>
    <row r="20" spans="1:19" ht="24" customHeight="1" x14ac:dyDescent="0.25">
      <c r="A20" s="20"/>
      <c r="B20" s="46"/>
      <c r="C20" s="41" t="s">
        <v>207</v>
      </c>
      <c r="D20" s="39"/>
      <c r="E20" s="39"/>
      <c r="F20" s="39"/>
      <c r="G20" s="34" t="s">
        <v>18</v>
      </c>
      <c r="H20" s="30"/>
      <c r="I20" s="30" t="b">
        <v>0</v>
      </c>
      <c r="J20" s="47" t="b">
        <v>0</v>
      </c>
      <c r="K20" s="33"/>
      <c r="L20" s="93" t="s">
        <v>151</v>
      </c>
      <c r="M20" s="91" t="s">
        <v>151</v>
      </c>
      <c r="N20" s="119" t="s">
        <v>151</v>
      </c>
      <c r="O20" s="20"/>
      <c r="P20" s="20"/>
    </row>
    <row r="21" spans="1:19" ht="24" customHeight="1" thickBot="1" x14ac:dyDescent="0.3">
      <c r="A21" s="20"/>
      <c r="B21" s="46"/>
      <c r="C21" s="41" t="s">
        <v>207</v>
      </c>
      <c r="D21" s="39"/>
      <c r="E21" s="39"/>
      <c r="F21" s="39"/>
      <c r="G21" s="34" t="s">
        <v>18</v>
      </c>
      <c r="H21" s="30" t="b">
        <v>0</v>
      </c>
      <c r="I21" s="30" t="b">
        <v>0</v>
      </c>
      <c r="J21" s="47"/>
      <c r="K21" s="33"/>
      <c r="L21" s="37">
        <f>IFERROR(SUM(L15+L17+L19),0)</f>
        <v>180</v>
      </c>
      <c r="M21" s="37">
        <f>IFERROR(SUM(M15+M17+M19),0)</f>
        <v>134</v>
      </c>
      <c r="N21" s="37">
        <f>IFERROR(SUM(N15+N17+N19),0)</f>
        <v>21</v>
      </c>
      <c r="O21" s="20"/>
      <c r="P21" s="20"/>
    </row>
    <row r="22" spans="1:19" ht="24" customHeight="1" thickBot="1" x14ac:dyDescent="0.3">
      <c r="A22" s="20"/>
      <c r="B22" s="46"/>
      <c r="C22" s="41" t="s">
        <v>207</v>
      </c>
      <c r="D22" s="39"/>
      <c r="E22" s="39"/>
      <c r="F22" s="39"/>
      <c r="G22" s="34" t="s">
        <v>18</v>
      </c>
      <c r="H22" s="30"/>
      <c r="I22" s="30" t="b">
        <v>0</v>
      </c>
      <c r="J22" s="47" t="b">
        <v>0</v>
      </c>
      <c r="K22" s="33"/>
      <c r="L22" s="88" t="str">
        <f>IF((((L15+L17+L19)/3)&gt;(H6-0.1)),"Eligible","Not Eligible")</f>
        <v>Eligible</v>
      </c>
      <c r="M22" s="88" t="str">
        <f>IF((((M15+M17+M19)/3)&gt;(H5-0.1)),"Eligible","Not Eligible")</f>
        <v>Eligible</v>
      </c>
      <c r="N22" s="88" t="str">
        <f>IF((((N15+N17+N19)/3)&gt;(H4-0.1)),"Eligible","Not Eligible")</f>
        <v>Eligible</v>
      </c>
      <c r="O22" s="20"/>
      <c r="P22" s="20"/>
    </row>
    <row r="23" spans="1:19" ht="24" customHeight="1" x14ac:dyDescent="0.25">
      <c r="A23" s="20"/>
      <c r="B23" s="46"/>
      <c r="C23" s="41" t="s">
        <v>207</v>
      </c>
      <c r="D23" s="39"/>
      <c r="E23" s="39"/>
      <c r="F23" s="39"/>
      <c r="G23" s="34" t="s">
        <v>18</v>
      </c>
      <c r="H23" s="30"/>
      <c r="I23" s="30"/>
      <c r="J23" s="47" t="b">
        <v>0</v>
      </c>
      <c r="K23" s="33"/>
      <c r="L23" s="31"/>
      <c r="M23" s="20"/>
      <c r="N23" s="20"/>
      <c r="O23" s="20"/>
      <c r="P23" s="20"/>
    </row>
    <row r="24" spans="1:19" ht="24" customHeight="1" x14ac:dyDescent="0.25">
      <c r="A24" s="20"/>
      <c r="B24" s="46"/>
      <c r="C24" s="41" t="s">
        <v>207</v>
      </c>
      <c r="D24" s="39"/>
      <c r="E24" s="39"/>
      <c r="F24" s="39"/>
      <c r="G24" s="34" t="s">
        <v>18</v>
      </c>
      <c r="H24" s="30"/>
      <c r="I24" s="30"/>
      <c r="J24" s="47" t="b">
        <v>0</v>
      </c>
      <c r="K24" s="33"/>
      <c r="L24" s="31"/>
      <c r="M24" s="20"/>
      <c r="N24" s="20"/>
      <c r="O24" s="20"/>
      <c r="P24" s="20"/>
    </row>
    <row r="25" spans="1:19" ht="24" customHeight="1" x14ac:dyDescent="0.25">
      <c r="A25" s="20"/>
      <c r="B25" s="46"/>
      <c r="C25" s="41" t="s">
        <v>207</v>
      </c>
      <c r="D25" s="39"/>
      <c r="E25" s="39"/>
      <c r="F25" s="39"/>
      <c r="G25" s="34" t="s">
        <v>18</v>
      </c>
      <c r="H25" s="30" t="b">
        <v>0</v>
      </c>
      <c r="I25" s="30" t="b">
        <v>0</v>
      </c>
      <c r="J25" s="47" t="b">
        <v>0</v>
      </c>
      <c r="K25" s="33"/>
      <c r="L25" s="31"/>
      <c r="M25" s="20"/>
      <c r="N25" s="20"/>
      <c r="O25" s="20"/>
      <c r="P25" s="20"/>
    </row>
    <row r="26" spans="1:19" ht="24" customHeight="1" x14ac:dyDescent="0.25">
      <c r="A26" s="20"/>
      <c r="B26" s="46"/>
      <c r="C26" s="41" t="s">
        <v>207</v>
      </c>
      <c r="D26" s="39"/>
      <c r="E26" s="39"/>
      <c r="F26" s="39"/>
      <c r="G26" s="34" t="s">
        <v>18</v>
      </c>
      <c r="H26" s="30" t="b">
        <v>0</v>
      </c>
      <c r="I26" s="30" t="b">
        <v>0</v>
      </c>
      <c r="J26" s="47" t="b">
        <v>0</v>
      </c>
      <c r="K26" s="33"/>
      <c r="L26" s="31"/>
      <c r="M26" s="20"/>
      <c r="N26" s="20"/>
      <c r="O26" s="20"/>
      <c r="P26" s="20"/>
    </row>
    <row r="27" spans="1:19" ht="24" customHeight="1" x14ac:dyDescent="0.25">
      <c r="A27" s="20"/>
      <c r="B27" s="46"/>
      <c r="C27" s="41" t="s">
        <v>207</v>
      </c>
      <c r="D27" s="39"/>
      <c r="E27" s="39"/>
      <c r="F27" s="39"/>
      <c r="G27" s="34" t="s">
        <v>18</v>
      </c>
      <c r="H27" s="30"/>
      <c r="I27" s="30"/>
      <c r="J27" s="47" t="b">
        <v>0</v>
      </c>
      <c r="K27" s="33"/>
      <c r="L27" s="31"/>
      <c r="M27" s="20"/>
      <c r="N27" s="20"/>
      <c r="O27" s="20"/>
      <c r="P27" s="20"/>
    </row>
    <row r="28" spans="1:19" ht="24" customHeight="1" x14ac:dyDescent="0.25">
      <c r="A28" s="20"/>
      <c r="B28" s="46"/>
      <c r="C28" s="41" t="s">
        <v>207</v>
      </c>
      <c r="D28" s="39"/>
      <c r="E28" s="39"/>
      <c r="F28" s="39"/>
      <c r="G28" s="34" t="s">
        <v>18</v>
      </c>
      <c r="H28" s="30"/>
      <c r="I28" s="30" t="b">
        <v>0</v>
      </c>
      <c r="J28" s="47" t="b">
        <v>0</v>
      </c>
      <c r="K28" s="33"/>
      <c r="L28" s="31"/>
      <c r="M28" s="20"/>
      <c r="N28" s="20"/>
      <c r="O28" s="20"/>
      <c r="P28" s="20"/>
    </row>
    <row r="29" spans="1:19" ht="24" customHeight="1" x14ac:dyDescent="0.25">
      <c r="A29" s="20"/>
      <c r="B29" s="46"/>
      <c r="C29" s="41" t="s">
        <v>207</v>
      </c>
      <c r="D29" s="39"/>
      <c r="E29" s="39"/>
      <c r="F29" s="39"/>
      <c r="G29" s="34" t="s">
        <v>18</v>
      </c>
      <c r="H29" s="30"/>
      <c r="I29" s="30"/>
      <c r="J29" s="47" t="b">
        <v>0</v>
      </c>
      <c r="K29" s="33"/>
      <c r="L29" s="31"/>
      <c r="M29" s="20"/>
      <c r="N29" s="20"/>
      <c r="O29" s="20"/>
      <c r="P29" s="20"/>
    </row>
    <row r="30" spans="1:19" ht="24" customHeight="1" x14ac:dyDescent="0.25">
      <c r="A30" s="20"/>
      <c r="B30" s="46"/>
      <c r="C30" s="41" t="s">
        <v>207</v>
      </c>
      <c r="D30" s="39"/>
      <c r="E30" s="39"/>
      <c r="F30" s="39"/>
      <c r="G30" s="34" t="s">
        <v>18</v>
      </c>
      <c r="H30" s="30"/>
      <c r="I30" s="30"/>
      <c r="J30" s="47" t="b">
        <v>0</v>
      </c>
      <c r="K30" s="33"/>
      <c r="L30" s="31"/>
      <c r="M30" s="20"/>
      <c r="N30" s="20"/>
      <c r="O30" s="20"/>
      <c r="P30" s="20"/>
    </row>
    <row r="31" spans="1:19" ht="24" customHeight="1" x14ac:dyDescent="0.25">
      <c r="A31" s="20"/>
      <c r="B31" s="46"/>
      <c r="C31" s="41" t="s">
        <v>207</v>
      </c>
      <c r="D31" s="39"/>
      <c r="E31" s="39"/>
      <c r="F31" s="81"/>
      <c r="G31" s="34" t="s">
        <v>20</v>
      </c>
      <c r="H31" s="30" t="b">
        <v>0</v>
      </c>
      <c r="I31" s="30" t="b">
        <v>0</v>
      </c>
      <c r="J31" s="47" t="b">
        <v>0</v>
      </c>
      <c r="K31" s="33"/>
      <c r="L31" s="31"/>
      <c r="M31" s="20"/>
      <c r="N31" s="20"/>
      <c r="O31" s="20"/>
      <c r="P31" s="20"/>
    </row>
    <row r="32" spans="1:19" ht="24" customHeight="1" x14ac:dyDescent="0.25">
      <c r="A32" s="20"/>
      <c r="B32" s="46"/>
      <c r="C32" s="41" t="s">
        <v>207</v>
      </c>
      <c r="D32" s="39"/>
      <c r="E32" s="39"/>
      <c r="F32" s="81"/>
      <c r="G32" s="34" t="s">
        <v>20</v>
      </c>
      <c r="H32" s="30" t="b">
        <v>0</v>
      </c>
      <c r="I32" s="30"/>
      <c r="J32" s="47" t="b">
        <v>0</v>
      </c>
      <c r="K32" s="33"/>
      <c r="L32" s="31"/>
      <c r="M32" s="20"/>
      <c r="N32" s="20"/>
      <c r="O32" s="20"/>
      <c r="P32" s="20"/>
    </row>
    <row r="33" spans="1:16" ht="24" customHeight="1" x14ac:dyDescent="0.25">
      <c r="A33" s="20"/>
      <c r="B33" s="46"/>
      <c r="C33" s="41" t="s">
        <v>207</v>
      </c>
      <c r="D33" s="39"/>
      <c r="E33" s="39"/>
      <c r="F33" s="81"/>
      <c r="G33" s="34" t="s">
        <v>20</v>
      </c>
      <c r="H33" s="30" t="b">
        <v>0</v>
      </c>
      <c r="I33" s="30" t="b">
        <v>0</v>
      </c>
      <c r="J33" s="47" t="b">
        <v>0</v>
      </c>
      <c r="K33" s="33"/>
      <c r="L33" s="31"/>
      <c r="M33" s="20"/>
      <c r="N33" s="20"/>
      <c r="O33" s="20"/>
      <c r="P33" s="20"/>
    </row>
    <row r="34" spans="1:16" ht="24" customHeight="1" x14ac:dyDescent="0.25">
      <c r="A34" s="20"/>
      <c r="B34" s="46"/>
      <c r="C34" s="41" t="s">
        <v>207</v>
      </c>
      <c r="D34" s="39"/>
      <c r="E34" s="39"/>
      <c r="F34" s="81"/>
      <c r="G34" s="34" t="s">
        <v>20</v>
      </c>
      <c r="H34" s="30" t="b">
        <v>0</v>
      </c>
      <c r="I34" s="30"/>
      <c r="J34" s="47" t="b">
        <v>0</v>
      </c>
      <c r="K34" s="33"/>
      <c r="L34" s="31"/>
      <c r="M34" s="20"/>
      <c r="N34" s="20"/>
      <c r="O34" s="20"/>
      <c r="P34" s="20"/>
    </row>
    <row r="35" spans="1:16" ht="24" customHeight="1" x14ac:dyDescent="0.25">
      <c r="A35" s="20"/>
      <c r="B35" s="46"/>
      <c r="C35" s="41" t="s">
        <v>207</v>
      </c>
      <c r="D35" s="39"/>
      <c r="E35" s="39"/>
      <c r="F35" s="81"/>
      <c r="G35" s="34" t="s">
        <v>20</v>
      </c>
      <c r="H35" s="30" t="b">
        <v>0</v>
      </c>
      <c r="I35" s="30" t="b">
        <v>0</v>
      </c>
      <c r="J35" s="47" t="b">
        <v>0</v>
      </c>
      <c r="K35" s="33"/>
      <c r="L35" s="31"/>
      <c r="M35" s="20"/>
      <c r="N35" s="20"/>
      <c r="O35" s="20"/>
      <c r="P35" s="20"/>
    </row>
    <row r="36" spans="1:16" ht="24" customHeight="1" x14ac:dyDescent="0.25">
      <c r="A36" s="20"/>
      <c r="B36" s="46"/>
      <c r="C36" s="41" t="s">
        <v>207</v>
      </c>
      <c r="D36" s="39"/>
      <c r="E36" s="39"/>
      <c r="F36" s="81"/>
      <c r="G36" s="34" t="s">
        <v>20</v>
      </c>
      <c r="H36" s="30" t="b">
        <v>0</v>
      </c>
      <c r="I36" s="30"/>
      <c r="J36" s="47" t="b">
        <v>0</v>
      </c>
      <c r="K36" s="33"/>
      <c r="L36" s="31"/>
      <c r="M36" s="20"/>
      <c r="N36" s="20"/>
      <c r="O36" s="20"/>
      <c r="P36" s="20"/>
    </row>
    <row r="37" spans="1:16" ht="24" customHeight="1" x14ac:dyDescent="0.25">
      <c r="A37" s="20"/>
      <c r="B37" s="46"/>
      <c r="C37" s="41" t="s">
        <v>207</v>
      </c>
      <c r="D37" s="39"/>
      <c r="E37" s="39"/>
      <c r="F37" s="81"/>
      <c r="G37" s="34" t="s">
        <v>20</v>
      </c>
      <c r="H37" s="30" t="b">
        <v>0</v>
      </c>
      <c r="I37" s="30" t="b">
        <v>0</v>
      </c>
      <c r="J37" s="47" t="b">
        <v>0</v>
      </c>
      <c r="K37" s="33"/>
      <c r="L37" s="31"/>
      <c r="M37" s="20"/>
      <c r="N37" s="20"/>
      <c r="O37" s="20"/>
      <c r="P37" s="20"/>
    </row>
    <row r="38" spans="1:16" ht="24" customHeight="1" x14ac:dyDescent="0.25">
      <c r="A38" s="20"/>
      <c r="B38" s="46"/>
      <c r="C38" s="41" t="s">
        <v>207</v>
      </c>
      <c r="D38" s="39"/>
      <c r="E38" s="39"/>
      <c r="F38" s="81"/>
      <c r="G38" s="34" t="s">
        <v>20</v>
      </c>
      <c r="H38" s="30" t="b">
        <v>0</v>
      </c>
      <c r="I38" s="30" t="b">
        <v>0</v>
      </c>
      <c r="J38" s="47"/>
      <c r="K38" s="33"/>
      <c r="L38" s="31"/>
      <c r="M38" s="20"/>
      <c r="N38" s="20"/>
      <c r="O38" s="20"/>
      <c r="P38" s="20"/>
    </row>
    <row r="39" spans="1:16" ht="24" customHeight="1" x14ac:dyDescent="0.25">
      <c r="A39" s="20"/>
      <c r="B39" s="46"/>
      <c r="C39" s="41" t="s">
        <v>207</v>
      </c>
      <c r="D39" s="39"/>
      <c r="E39" s="39"/>
      <c r="F39" s="81"/>
      <c r="G39" s="34" t="s">
        <v>20</v>
      </c>
      <c r="H39" s="30" t="b">
        <v>0</v>
      </c>
      <c r="I39" s="30" t="b">
        <v>0</v>
      </c>
      <c r="J39" s="47"/>
      <c r="K39" s="33"/>
      <c r="L39" s="31"/>
      <c r="M39" s="20"/>
      <c r="N39" s="20"/>
      <c r="O39" s="20"/>
      <c r="P39" s="20"/>
    </row>
    <row r="40" spans="1:16" ht="24" customHeight="1" x14ac:dyDescent="0.25">
      <c r="A40" s="20"/>
      <c r="B40" s="46"/>
      <c r="C40" s="41" t="s">
        <v>207</v>
      </c>
      <c r="D40" s="39"/>
      <c r="E40" s="39"/>
      <c r="F40" s="81"/>
      <c r="G40" s="34" t="s">
        <v>20</v>
      </c>
      <c r="H40" s="30" t="b">
        <v>0</v>
      </c>
      <c r="I40" s="30"/>
      <c r="J40" s="47" t="b">
        <v>0</v>
      </c>
      <c r="K40" s="33"/>
      <c r="L40" s="33"/>
      <c r="M40" s="20"/>
      <c r="N40" s="20"/>
      <c r="O40" s="20"/>
      <c r="P40" s="20"/>
    </row>
    <row r="41" spans="1:16" ht="24" customHeight="1" x14ac:dyDescent="0.25">
      <c r="A41" s="20"/>
      <c r="B41" s="46"/>
      <c r="C41" s="41" t="s">
        <v>207</v>
      </c>
      <c r="D41" s="39"/>
      <c r="E41" s="39"/>
      <c r="F41" s="81"/>
      <c r="G41" s="34" t="s">
        <v>20</v>
      </c>
      <c r="H41" s="30" t="b">
        <v>0</v>
      </c>
      <c r="I41" s="30"/>
      <c r="J41" s="47" t="b">
        <v>0</v>
      </c>
      <c r="K41" s="33"/>
      <c r="L41" s="33"/>
      <c r="M41" s="20"/>
      <c r="N41" s="20"/>
      <c r="O41" s="20"/>
      <c r="P41" s="20"/>
    </row>
    <row r="42" spans="1:16" ht="24" customHeight="1" x14ac:dyDescent="0.25">
      <c r="A42" s="20"/>
      <c r="B42" s="46"/>
      <c r="C42" s="41" t="s">
        <v>207</v>
      </c>
      <c r="D42" s="39"/>
      <c r="E42" s="39"/>
      <c r="F42" s="81"/>
      <c r="G42" s="34" t="s">
        <v>20</v>
      </c>
      <c r="H42" s="30"/>
      <c r="I42" s="30"/>
      <c r="J42" s="47" t="b">
        <v>0</v>
      </c>
      <c r="K42" s="33"/>
      <c r="L42" s="33"/>
      <c r="M42" s="20"/>
      <c r="N42" s="20"/>
      <c r="O42" s="20"/>
      <c r="P42" s="20"/>
    </row>
    <row r="43" spans="1:16" ht="24" customHeight="1" x14ac:dyDescent="0.25">
      <c r="A43" s="20"/>
      <c r="B43" s="46"/>
      <c r="C43" s="41" t="s">
        <v>207</v>
      </c>
      <c r="D43" s="39"/>
      <c r="E43" s="39"/>
      <c r="F43" s="81"/>
      <c r="G43" s="34" t="s">
        <v>20</v>
      </c>
      <c r="H43" s="30"/>
      <c r="I43" s="30"/>
      <c r="J43" s="47" t="b">
        <v>0</v>
      </c>
      <c r="K43" s="33"/>
      <c r="L43" s="33"/>
      <c r="M43" s="20"/>
      <c r="N43" s="20"/>
      <c r="O43" s="20"/>
      <c r="P43" s="20"/>
    </row>
    <row r="44" spans="1:16" ht="24" customHeight="1" x14ac:dyDescent="0.25">
      <c r="A44" s="20"/>
      <c r="B44" s="46"/>
      <c r="C44" s="41" t="s">
        <v>207</v>
      </c>
      <c r="D44" s="39"/>
      <c r="E44" s="39"/>
      <c r="F44" s="81"/>
      <c r="G44" s="34" t="s">
        <v>20</v>
      </c>
      <c r="H44" s="30" t="b">
        <v>0</v>
      </c>
      <c r="I44" s="30"/>
      <c r="J44" s="47" t="b">
        <v>0</v>
      </c>
      <c r="K44" s="33"/>
      <c r="L44" s="33"/>
      <c r="M44" s="20"/>
      <c r="N44" s="20"/>
      <c r="O44" s="20"/>
      <c r="P44" s="20"/>
    </row>
    <row r="45" spans="1:16" ht="24" customHeight="1" x14ac:dyDescent="0.25">
      <c r="A45" s="20"/>
      <c r="B45" s="46"/>
      <c r="C45" s="41" t="s">
        <v>207</v>
      </c>
      <c r="D45" s="39"/>
      <c r="E45" s="39"/>
      <c r="F45" s="81"/>
      <c r="G45" s="34" t="s">
        <v>20</v>
      </c>
      <c r="H45" s="30" t="b">
        <v>0</v>
      </c>
      <c r="I45" s="30"/>
      <c r="J45" s="47" t="b">
        <v>0</v>
      </c>
      <c r="K45" s="33"/>
      <c r="L45" s="33"/>
      <c r="M45" s="20"/>
      <c r="N45" s="20"/>
      <c r="O45" s="20"/>
      <c r="P45" s="20"/>
    </row>
    <row r="46" spans="1:16" ht="24" customHeight="1" x14ac:dyDescent="0.25">
      <c r="A46" s="20"/>
      <c r="B46" s="48"/>
      <c r="C46" s="41" t="s">
        <v>207</v>
      </c>
      <c r="D46" s="39"/>
      <c r="E46" s="39"/>
      <c r="F46" s="81"/>
      <c r="G46" s="34" t="s">
        <v>20</v>
      </c>
      <c r="H46" s="30" t="b">
        <v>0</v>
      </c>
      <c r="I46" s="30"/>
      <c r="J46" s="47" t="b">
        <v>0</v>
      </c>
      <c r="K46" s="33"/>
      <c r="L46" s="33"/>
      <c r="M46" s="20"/>
      <c r="N46" s="20"/>
      <c r="O46" s="20"/>
      <c r="P46" s="20"/>
    </row>
    <row r="47" spans="1:16" ht="24" customHeight="1" x14ac:dyDescent="0.25">
      <c r="A47" s="20"/>
      <c r="B47" s="46"/>
      <c r="C47" s="41" t="s">
        <v>207</v>
      </c>
      <c r="D47" s="39"/>
      <c r="E47" s="39"/>
      <c r="F47" s="81"/>
      <c r="G47" s="34" t="s">
        <v>20</v>
      </c>
      <c r="H47" s="30" t="b">
        <v>0</v>
      </c>
      <c r="I47" s="30" t="b">
        <v>0</v>
      </c>
      <c r="J47" s="47"/>
      <c r="K47" s="33"/>
      <c r="L47" s="33"/>
      <c r="M47" s="20"/>
      <c r="N47" s="20"/>
      <c r="O47" s="20"/>
      <c r="P47" s="20"/>
    </row>
    <row r="48" spans="1:16" ht="24" customHeight="1" x14ac:dyDescent="0.25">
      <c r="A48" s="20"/>
      <c r="B48" s="46"/>
      <c r="C48" s="41" t="s">
        <v>207</v>
      </c>
      <c r="D48" s="39"/>
      <c r="E48" s="39"/>
      <c r="F48" s="81"/>
      <c r="G48" s="34" t="s">
        <v>20</v>
      </c>
      <c r="H48" s="30" t="b">
        <v>0</v>
      </c>
      <c r="I48" s="30" t="b">
        <v>0</v>
      </c>
      <c r="J48" s="47" t="b">
        <v>0</v>
      </c>
      <c r="K48" s="33"/>
      <c r="L48" s="33"/>
      <c r="M48" s="20"/>
      <c r="N48" s="20"/>
      <c r="O48" s="20"/>
      <c r="P48" s="20"/>
    </row>
    <row r="49" spans="1:16" ht="24" customHeight="1" x14ac:dyDescent="0.25">
      <c r="A49" s="20"/>
      <c r="B49" s="46"/>
      <c r="C49" s="41" t="s">
        <v>207</v>
      </c>
      <c r="D49" s="39"/>
      <c r="E49" s="39"/>
      <c r="F49" s="81"/>
      <c r="G49" s="34" t="s">
        <v>20</v>
      </c>
      <c r="H49" s="30" t="b">
        <v>0</v>
      </c>
      <c r="I49" s="30" t="b">
        <v>0</v>
      </c>
      <c r="J49" s="47"/>
      <c r="K49" s="33"/>
      <c r="L49" s="33"/>
      <c r="M49" s="20"/>
      <c r="N49" s="20"/>
      <c r="O49" s="20"/>
      <c r="P49" s="20"/>
    </row>
    <row r="50" spans="1:16" ht="24" customHeight="1" x14ac:dyDescent="0.25">
      <c r="A50" s="20"/>
      <c r="B50" s="46"/>
      <c r="C50" s="41" t="s">
        <v>207</v>
      </c>
      <c r="D50" s="39"/>
      <c r="E50" s="39"/>
      <c r="F50" s="81"/>
      <c r="G50" s="34" t="s">
        <v>20</v>
      </c>
      <c r="H50" s="30" t="b">
        <v>0</v>
      </c>
      <c r="I50" s="30" t="b">
        <v>0</v>
      </c>
      <c r="J50" s="47"/>
      <c r="K50" s="33"/>
      <c r="L50" s="33"/>
      <c r="M50" s="20"/>
      <c r="N50" s="20"/>
      <c r="O50" s="20"/>
      <c r="P50" s="20"/>
    </row>
    <row r="51" spans="1:16" ht="24" customHeight="1" x14ac:dyDescent="0.25">
      <c r="A51" s="20"/>
      <c r="B51" s="46"/>
      <c r="C51" s="41" t="s">
        <v>207</v>
      </c>
      <c r="D51" s="39"/>
      <c r="E51" s="39"/>
      <c r="F51" s="81"/>
      <c r="G51" s="34" t="s">
        <v>20</v>
      </c>
      <c r="H51" s="30" t="b">
        <v>0</v>
      </c>
      <c r="I51" s="30" t="b">
        <v>0</v>
      </c>
      <c r="J51" s="47" t="b">
        <v>0</v>
      </c>
      <c r="K51" s="33"/>
      <c r="L51" s="33"/>
      <c r="M51" s="20"/>
      <c r="N51" s="20"/>
      <c r="O51" s="20"/>
      <c r="P51" s="20"/>
    </row>
    <row r="52" spans="1:16" ht="24" customHeight="1" x14ac:dyDescent="0.25">
      <c r="A52" s="20"/>
      <c r="B52" s="46"/>
      <c r="C52" s="41" t="s">
        <v>207</v>
      </c>
      <c r="D52" s="39"/>
      <c r="E52" s="39"/>
      <c r="F52" s="81"/>
      <c r="G52" s="34" t="s">
        <v>20</v>
      </c>
      <c r="H52" s="30" t="b">
        <v>0</v>
      </c>
      <c r="I52" s="30"/>
      <c r="J52" s="47" t="b">
        <v>0</v>
      </c>
      <c r="K52" s="33"/>
      <c r="L52" s="33"/>
      <c r="M52" s="20"/>
      <c r="N52" s="20"/>
      <c r="O52" s="20"/>
      <c r="P52" s="20"/>
    </row>
    <row r="53" spans="1:16" ht="24" customHeight="1" x14ac:dyDescent="0.25">
      <c r="A53" s="20"/>
      <c r="B53" s="46"/>
      <c r="C53" s="41" t="s">
        <v>207</v>
      </c>
      <c r="D53" s="39"/>
      <c r="E53" s="39"/>
      <c r="F53" s="81"/>
      <c r="G53" s="34" t="s">
        <v>20</v>
      </c>
      <c r="H53" s="30" t="b">
        <v>0</v>
      </c>
      <c r="I53" s="30" t="b">
        <v>0</v>
      </c>
      <c r="J53" s="47" t="b">
        <v>0</v>
      </c>
      <c r="K53" s="33"/>
      <c r="L53" s="31"/>
      <c r="M53" s="20"/>
      <c r="N53" s="20"/>
      <c r="O53" s="20"/>
      <c r="P53" s="20"/>
    </row>
    <row r="54" spans="1:16" ht="24" customHeight="1" x14ac:dyDescent="0.25">
      <c r="A54" s="20"/>
      <c r="B54" s="48"/>
      <c r="C54" s="41" t="s">
        <v>207</v>
      </c>
      <c r="D54" s="39"/>
      <c r="E54" s="39"/>
      <c r="F54" s="81"/>
      <c r="G54" s="34" t="s">
        <v>20</v>
      </c>
      <c r="H54" s="30" t="b">
        <v>0</v>
      </c>
      <c r="I54" s="30" t="b">
        <v>0</v>
      </c>
      <c r="J54" s="47" t="b">
        <v>0</v>
      </c>
      <c r="K54" s="33"/>
      <c r="L54" s="31"/>
      <c r="M54" s="20"/>
      <c r="N54" s="20"/>
      <c r="O54" s="20"/>
      <c r="P54" s="20"/>
    </row>
    <row r="55" spans="1:16" ht="24" customHeight="1" x14ac:dyDescent="0.25">
      <c r="A55" s="20"/>
      <c r="B55" s="46"/>
      <c r="C55" s="41" t="s">
        <v>207</v>
      </c>
      <c r="D55" s="39"/>
      <c r="E55" s="39"/>
      <c r="F55" s="81"/>
      <c r="G55" s="34" t="s">
        <v>20</v>
      </c>
      <c r="H55" s="30" t="b">
        <v>0</v>
      </c>
      <c r="I55" s="30" t="b">
        <v>0</v>
      </c>
      <c r="J55" s="47"/>
      <c r="K55" s="33"/>
      <c r="L55" s="31"/>
      <c r="M55" s="20"/>
      <c r="N55" s="20"/>
      <c r="O55" s="20"/>
      <c r="P55" s="20"/>
    </row>
    <row r="56" spans="1:16" ht="24" customHeight="1" x14ac:dyDescent="0.25">
      <c r="A56" s="20"/>
      <c r="B56" s="46"/>
      <c r="C56" s="41" t="s">
        <v>207</v>
      </c>
      <c r="D56" s="39"/>
      <c r="E56" s="39"/>
      <c r="F56" s="81"/>
      <c r="G56" s="34" t="s">
        <v>20</v>
      </c>
      <c r="H56" s="30"/>
      <c r="I56" s="30" t="b">
        <v>0</v>
      </c>
      <c r="J56" s="47" t="b">
        <v>0</v>
      </c>
      <c r="K56" s="33"/>
      <c r="L56" s="31"/>
      <c r="M56" s="20"/>
      <c r="N56" s="20"/>
      <c r="O56" s="20"/>
      <c r="P56" s="20"/>
    </row>
    <row r="57" spans="1:16" ht="24" customHeight="1" x14ac:dyDescent="0.25">
      <c r="A57" s="20"/>
      <c r="B57" s="46"/>
      <c r="C57" s="41" t="s">
        <v>207</v>
      </c>
      <c r="D57" s="39"/>
      <c r="E57" s="39"/>
      <c r="F57" s="81"/>
      <c r="G57" s="34" t="s">
        <v>20</v>
      </c>
      <c r="H57" s="30" t="b">
        <v>0</v>
      </c>
      <c r="I57" s="30" t="b">
        <v>0</v>
      </c>
      <c r="J57" s="47" t="b">
        <v>0</v>
      </c>
      <c r="K57" s="33"/>
      <c r="L57" s="31"/>
      <c r="M57" s="20"/>
      <c r="N57" s="20"/>
      <c r="O57" s="20"/>
      <c r="P57" s="20"/>
    </row>
    <row r="58" spans="1:16" ht="24" customHeight="1" x14ac:dyDescent="0.25">
      <c r="A58" s="20"/>
      <c r="B58" s="46"/>
      <c r="C58" s="41" t="s">
        <v>207</v>
      </c>
      <c r="D58" s="39"/>
      <c r="E58" s="39"/>
      <c r="F58" s="81"/>
      <c r="G58" s="34" t="s">
        <v>20</v>
      </c>
      <c r="H58" s="30" t="b">
        <v>0</v>
      </c>
      <c r="I58" s="30"/>
      <c r="J58" s="47" t="b">
        <v>0</v>
      </c>
      <c r="K58" s="33"/>
      <c r="L58" s="31"/>
      <c r="M58" s="20"/>
      <c r="N58" s="20"/>
      <c r="O58" s="20"/>
      <c r="P58" s="20"/>
    </row>
    <row r="59" spans="1:16" ht="24" customHeight="1" x14ac:dyDescent="0.25">
      <c r="A59" s="20"/>
      <c r="B59" s="46"/>
      <c r="C59" s="41" t="s">
        <v>207</v>
      </c>
      <c r="D59" s="39"/>
      <c r="E59" s="39"/>
      <c r="F59" s="81"/>
      <c r="G59" s="34" t="s">
        <v>20</v>
      </c>
      <c r="H59" s="30"/>
      <c r="I59" s="30"/>
      <c r="J59" s="47" t="b">
        <v>0</v>
      </c>
      <c r="K59" s="33"/>
      <c r="L59" s="33"/>
      <c r="M59" s="20"/>
      <c r="N59" s="20"/>
      <c r="O59" s="20"/>
      <c r="P59" s="20"/>
    </row>
    <row r="60" spans="1:16" ht="24" customHeight="1" x14ac:dyDescent="0.25">
      <c r="A60" s="20"/>
      <c r="B60" s="46"/>
      <c r="C60" s="41" t="s">
        <v>207</v>
      </c>
      <c r="D60" s="39"/>
      <c r="E60" s="39"/>
      <c r="F60" s="81"/>
      <c r="G60" s="34" t="s">
        <v>20</v>
      </c>
      <c r="H60" s="30"/>
      <c r="I60" s="30"/>
      <c r="J60" s="47" t="b">
        <v>0</v>
      </c>
      <c r="K60" s="33"/>
      <c r="L60" s="33"/>
      <c r="M60" s="20"/>
      <c r="N60" s="20"/>
      <c r="O60" s="20"/>
      <c r="P60" s="20"/>
    </row>
    <row r="61" spans="1:16" ht="24" customHeight="1" x14ac:dyDescent="0.25">
      <c r="A61" s="20"/>
      <c r="B61" s="46"/>
      <c r="C61" s="41" t="s">
        <v>207</v>
      </c>
      <c r="D61" s="39"/>
      <c r="E61" s="39"/>
      <c r="F61" s="81"/>
      <c r="G61" s="34" t="s">
        <v>20</v>
      </c>
      <c r="H61" s="30"/>
      <c r="I61" s="30"/>
      <c r="J61" s="47" t="b">
        <v>0</v>
      </c>
      <c r="K61" s="33"/>
      <c r="L61" s="33"/>
      <c r="M61" s="20"/>
      <c r="N61" s="20"/>
      <c r="O61" s="20"/>
      <c r="P61" s="20"/>
    </row>
    <row r="62" spans="1:16" ht="24" customHeight="1" x14ac:dyDescent="0.25">
      <c r="A62" s="20"/>
      <c r="B62" s="46"/>
      <c r="C62" s="41" t="s">
        <v>207</v>
      </c>
      <c r="D62" s="39"/>
      <c r="E62" s="39"/>
      <c r="F62" s="81"/>
      <c r="G62" s="34" t="s">
        <v>20</v>
      </c>
      <c r="H62" s="30"/>
      <c r="I62" s="30"/>
      <c r="J62" s="47" t="b">
        <v>0</v>
      </c>
      <c r="K62" s="33"/>
      <c r="L62" s="33"/>
      <c r="M62" s="20"/>
      <c r="N62" s="20"/>
      <c r="O62" s="20"/>
      <c r="P62" s="20"/>
    </row>
    <row r="63" spans="1:16" ht="24" customHeight="1" x14ac:dyDescent="0.25">
      <c r="A63" s="20"/>
      <c r="B63" s="46"/>
      <c r="C63" s="41" t="s">
        <v>207</v>
      </c>
      <c r="D63" s="39"/>
      <c r="E63" s="39"/>
      <c r="F63" s="81"/>
      <c r="G63" s="34" t="s">
        <v>20</v>
      </c>
      <c r="H63" s="30"/>
      <c r="I63" s="30"/>
      <c r="J63" s="47" t="b">
        <v>0</v>
      </c>
      <c r="K63" s="33"/>
      <c r="L63" s="33"/>
      <c r="M63" s="20"/>
      <c r="N63" s="20"/>
      <c r="O63" s="20"/>
      <c r="P63" s="20"/>
    </row>
    <row r="64" spans="1:16" ht="24" customHeight="1" x14ac:dyDescent="0.25">
      <c r="A64" s="20"/>
      <c r="B64" s="46"/>
      <c r="C64" s="41" t="s">
        <v>207</v>
      </c>
      <c r="D64" s="39"/>
      <c r="E64" s="39"/>
      <c r="F64" s="81"/>
      <c r="G64" s="34" t="s">
        <v>19</v>
      </c>
      <c r="H64" s="30"/>
      <c r="I64" s="30"/>
      <c r="J64" s="47" t="b">
        <v>0</v>
      </c>
      <c r="K64" s="33"/>
      <c r="L64" s="33"/>
      <c r="M64" s="20"/>
      <c r="N64" s="20"/>
      <c r="O64" s="20"/>
      <c r="P64" s="20"/>
    </row>
    <row r="65" spans="1:16" ht="24" customHeight="1" x14ac:dyDescent="0.25">
      <c r="A65" s="20"/>
      <c r="B65" s="46"/>
      <c r="C65" s="41" t="s">
        <v>207</v>
      </c>
      <c r="D65" s="39"/>
      <c r="E65" s="39"/>
      <c r="F65" s="81"/>
      <c r="G65" s="34" t="s">
        <v>19</v>
      </c>
      <c r="H65" s="30" t="b">
        <v>0</v>
      </c>
      <c r="I65" s="30" t="b">
        <v>0</v>
      </c>
      <c r="J65" s="47"/>
      <c r="K65" s="33"/>
      <c r="L65" s="33"/>
      <c r="M65" s="20"/>
      <c r="N65" s="20"/>
      <c r="O65" s="20"/>
      <c r="P65" s="20"/>
    </row>
    <row r="66" spans="1:16" ht="24" customHeight="1" x14ac:dyDescent="0.25">
      <c r="A66" s="20"/>
      <c r="B66" s="46"/>
      <c r="C66" s="41" t="s">
        <v>207</v>
      </c>
      <c r="D66" s="39"/>
      <c r="E66" s="39"/>
      <c r="F66" s="81"/>
      <c r="G66" s="34" t="s">
        <v>19</v>
      </c>
      <c r="H66" s="30"/>
      <c r="I66" s="30"/>
      <c r="J66" s="47" t="b">
        <v>0</v>
      </c>
      <c r="K66" s="33"/>
      <c r="L66" s="33"/>
      <c r="M66" s="20"/>
      <c r="N66" s="20"/>
      <c r="O66" s="20"/>
      <c r="P66" s="20"/>
    </row>
    <row r="67" spans="1:16" ht="24" customHeight="1" x14ac:dyDescent="0.25">
      <c r="A67" s="20"/>
      <c r="B67" s="46"/>
      <c r="C67" s="41" t="s">
        <v>207</v>
      </c>
      <c r="D67" s="39"/>
      <c r="E67" s="39"/>
      <c r="F67" s="81"/>
      <c r="G67" s="34" t="s">
        <v>19</v>
      </c>
      <c r="H67" s="30"/>
      <c r="I67" s="30" t="b">
        <v>0</v>
      </c>
      <c r="J67" s="47"/>
      <c r="K67" s="33"/>
      <c r="L67" s="33"/>
      <c r="M67" s="20"/>
      <c r="N67" s="20"/>
      <c r="O67" s="20"/>
      <c r="P67" s="20"/>
    </row>
    <row r="68" spans="1:16" ht="24" customHeight="1" x14ac:dyDescent="0.25">
      <c r="A68" s="20"/>
      <c r="B68" s="46"/>
      <c r="C68" s="41" t="s">
        <v>207</v>
      </c>
      <c r="D68" s="39"/>
      <c r="E68" s="39"/>
      <c r="F68" s="81"/>
      <c r="G68" s="34" t="s">
        <v>19</v>
      </c>
      <c r="H68" s="30"/>
      <c r="I68" s="30" t="b">
        <v>0</v>
      </c>
      <c r="J68" s="47"/>
      <c r="K68" s="33"/>
      <c r="L68" s="33"/>
      <c r="M68" s="20"/>
      <c r="N68" s="20"/>
      <c r="O68" s="20"/>
      <c r="P68" s="20"/>
    </row>
    <row r="69" spans="1:16" ht="24" customHeight="1" x14ac:dyDescent="0.25">
      <c r="A69" s="20"/>
      <c r="B69" s="46"/>
      <c r="C69" s="41" t="s">
        <v>207</v>
      </c>
      <c r="D69" s="39"/>
      <c r="E69" s="39"/>
      <c r="F69" s="81"/>
      <c r="G69" s="34" t="s">
        <v>19</v>
      </c>
      <c r="H69" s="30"/>
      <c r="I69" s="30"/>
      <c r="J69" s="47" t="b">
        <v>0</v>
      </c>
      <c r="K69" s="33"/>
      <c r="L69" s="33"/>
      <c r="M69" s="20"/>
      <c r="N69" s="20"/>
      <c r="O69" s="20"/>
      <c r="P69" s="20"/>
    </row>
    <row r="70" spans="1:16" ht="24" customHeight="1" x14ac:dyDescent="0.25">
      <c r="A70" s="20"/>
      <c r="B70" s="46"/>
      <c r="C70" s="41" t="s">
        <v>207</v>
      </c>
      <c r="D70" s="39"/>
      <c r="E70" s="39"/>
      <c r="F70" s="81"/>
      <c r="G70" s="34" t="s">
        <v>19</v>
      </c>
      <c r="H70" s="30"/>
      <c r="I70" s="30"/>
      <c r="J70" s="47" t="b">
        <v>0</v>
      </c>
      <c r="K70" s="33"/>
      <c r="L70" s="33"/>
      <c r="M70" s="20"/>
      <c r="N70" s="20"/>
      <c r="O70" s="20"/>
      <c r="P70" s="20"/>
    </row>
    <row r="71" spans="1:16" ht="24" customHeight="1" x14ac:dyDescent="0.25">
      <c r="A71" s="20"/>
      <c r="B71" s="46"/>
      <c r="C71" s="41" t="s">
        <v>207</v>
      </c>
      <c r="D71" s="39"/>
      <c r="E71" s="39"/>
      <c r="F71" s="81"/>
      <c r="G71" s="34" t="s">
        <v>19</v>
      </c>
      <c r="H71" s="30"/>
      <c r="I71" s="30"/>
      <c r="J71" s="47" t="b">
        <v>0</v>
      </c>
      <c r="K71" s="33"/>
      <c r="L71" s="33"/>
      <c r="M71" s="20"/>
      <c r="N71" s="20"/>
      <c r="O71" s="20"/>
      <c r="P71" s="20"/>
    </row>
    <row r="72" spans="1:16" ht="24" customHeight="1" x14ac:dyDescent="0.25">
      <c r="A72" s="20"/>
      <c r="B72" s="46"/>
      <c r="C72" s="41" t="s">
        <v>207</v>
      </c>
      <c r="D72" s="39"/>
      <c r="E72" s="39"/>
      <c r="F72" s="81"/>
      <c r="G72" s="34" t="s">
        <v>19</v>
      </c>
      <c r="H72" s="30"/>
      <c r="I72" s="30"/>
      <c r="J72" s="47" t="b">
        <v>0</v>
      </c>
      <c r="K72" s="33"/>
      <c r="L72" s="33"/>
      <c r="M72" s="20"/>
      <c r="N72" s="20"/>
      <c r="O72" s="20"/>
      <c r="P72" s="20"/>
    </row>
    <row r="73" spans="1:16" ht="24" customHeight="1" x14ac:dyDescent="0.25">
      <c r="A73" s="20"/>
      <c r="B73" s="46"/>
      <c r="C73" s="41" t="s">
        <v>207</v>
      </c>
      <c r="D73" s="39"/>
      <c r="E73" s="39"/>
      <c r="F73" s="81"/>
      <c r="G73" s="34" t="s">
        <v>19</v>
      </c>
      <c r="H73" s="30"/>
      <c r="I73" s="30"/>
      <c r="J73" s="47" t="b">
        <v>0</v>
      </c>
      <c r="K73" s="33"/>
      <c r="L73" s="33"/>
      <c r="M73" s="20"/>
      <c r="N73" s="20"/>
      <c r="O73" s="20"/>
      <c r="P73" s="20"/>
    </row>
    <row r="74" spans="1:16" ht="24" customHeight="1" x14ac:dyDescent="0.25">
      <c r="A74" s="20"/>
      <c r="B74" s="46"/>
      <c r="C74" s="41" t="s">
        <v>207</v>
      </c>
      <c r="D74" s="39"/>
      <c r="E74" s="39"/>
      <c r="F74" s="81"/>
      <c r="G74" s="34" t="s">
        <v>19</v>
      </c>
      <c r="H74" s="30"/>
      <c r="I74" s="30" t="b">
        <v>0</v>
      </c>
      <c r="J74" s="47" t="b">
        <v>0</v>
      </c>
      <c r="K74" s="33"/>
      <c r="L74" s="33"/>
      <c r="M74" s="20"/>
      <c r="N74" s="20"/>
      <c r="O74" s="20"/>
      <c r="P74" s="20"/>
    </row>
    <row r="75" spans="1:16" ht="24" customHeight="1" x14ac:dyDescent="0.25">
      <c r="A75" s="20"/>
      <c r="B75" s="46"/>
      <c r="C75" s="41" t="s">
        <v>207</v>
      </c>
      <c r="D75" s="39"/>
      <c r="E75" s="39"/>
      <c r="F75" s="81"/>
      <c r="G75" s="34" t="s">
        <v>19</v>
      </c>
      <c r="H75" s="30"/>
      <c r="I75" s="30"/>
      <c r="J75" s="47" t="b">
        <v>0</v>
      </c>
      <c r="K75" s="33"/>
      <c r="L75" s="33"/>
      <c r="M75" s="20"/>
      <c r="N75" s="20"/>
      <c r="O75" s="20"/>
      <c r="P75" s="20"/>
    </row>
    <row r="76" spans="1:16" ht="24" customHeight="1" x14ac:dyDescent="0.25">
      <c r="A76" s="20"/>
      <c r="B76" s="46"/>
      <c r="C76" s="41" t="s">
        <v>207</v>
      </c>
      <c r="D76" s="39"/>
      <c r="E76" s="39"/>
      <c r="F76" s="81"/>
      <c r="G76" s="34" t="s">
        <v>19</v>
      </c>
      <c r="H76" s="30" t="b">
        <v>0</v>
      </c>
      <c r="I76" s="30"/>
      <c r="J76" s="47" t="b">
        <v>0</v>
      </c>
      <c r="K76" s="33"/>
      <c r="L76" s="33"/>
      <c r="M76" s="20"/>
      <c r="N76" s="20"/>
      <c r="O76" s="20"/>
      <c r="P76" s="20"/>
    </row>
    <row r="77" spans="1:16" ht="24" customHeight="1" x14ac:dyDescent="0.25">
      <c r="A77" s="20"/>
      <c r="B77" s="46"/>
      <c r="C77" s="41" t="s">
        <v>207</v>
      </c>
      <c r="D77" s="39"/>
      <c r="E77" s="39"/>
      <c r="F77" s="81"/>
      <c r="G77" s="34" t="s">
        <v>19</v>
      </c>
      <c r="H77" s="30"/>
      <c r="I77" s="30"/>
      <c r="J77" s="47" t="b">
        <v>0</v>
      </c>
      <c r="K77" s="33"/>
      <c r="L77" s="33"/>
      <c r="M77" s="20"/>
      <c r="N77" s="20"/>
      <c r="O77" s="20"/>
      <c r="P77" s="20"/>
    </row>
    <row r="78" spans="1:16" ht="24" customHeight="1" x14ac:dyDescent="0.25">
      <c r="A78" s="20"/>
      <c r="B78" s="46"/>
      <c r="C78" s="41" t="s">
        <v>207</v>
      </c>
      <c r="D78" s="39"/>
      <c r="E78" s="39"/>
      <c r="F78" s="81"/>
      <c r="G78" s="34" t="s">
        <v>19</v>
      </c>
      <c r="H78" s="30"/>
      <c r="I78" s="30" t="b">
        <v>0</v>
      </c>
      <c r="J78" s="47" t="b">
        <v>0</v>
      </c>
      <c r="K78" s="33"/>
      <c r="L78" s="33"/>
      <c r="M78" s="20"/>
      <c r="N78" s="20"/>
      <c r="O78" s="20"/>
      <c r="P78" s="20"/>
    </row>
    <row r="79" spans="1:16" ht="24" customHeight="1" x14ac:dyDescent="0.25">
      <c r="A79" s="20"/>
      <c r="B79" s="46"/>
      <c r="C79" s="41" t="s">
        <v>207</v>
      </c>
      <c r="D79" s="39"/>
      <c r="E79" s="39"/>
      <c r="F79" s="81"/>
      <c r="G79" s="34" t="s">
        <v>19</v>
      </c>
      <c r="H79" s="30"/>
      <c r="I79" s="30" t="b">
        <v>0</v>
      </c>
      <c r="J79" s="47" t="b">
        <v>0</v>
      </c>
      <c r="K79" s="33"/>
      <c r="L79" s="33"/>
      <c r="M79" s="20"/>
      <c r="N79" s="20"/>
      <c r="O79" s="20"/>
      <c r="P79" s="20"/>
    </row>
    <row r="80" spans="1:16" ht="24" customHeight="1" x14ac:dyDescent="0.25">
      <c r="A80" s="20"/>
      <c r="B80" s="46"/>
      <c r="C80" s="41" t="s">
        <v>207</v>
      </c>
      <c r="D80" s="39"/>
      <c r="E80" s="39"/>
      <c r="F80" s="81"/>
      <c r="G80" s="34" t="s">
        <v>19</v>
      </c>
      <c r="H80" s="30"/>
      <c r="I80" s="30" t="b">
        <v>0</v>
      </c>
      <c r="J80" s="47" t="b">
        <v>0</v>
      </c>
      <c r="K80" s="33"/>
      <c r="L80" s="33"/>
      <c r="M80" s="20"/>
      <c r="N80" s="20"/>
      <c r="O80" s="20"/>
      <c r="P80" s="20"/>
    </row>
    <row r="81" spans="1:16" ht="24" customHeight="1" x14ac:dyDescent="0.25">
      <c r="A81" s="20"/>
      <c r="B81" s="46"/>
      <c r="C81" s="41" t="s">
        <v>207</v>
      </c>
      <c r="D81" s="39"/>
      <c r="E81" s="39"/>
      <c r="F81" s="81"/>
      <c r="G81" s="34" t="s">
        <v>19</v>
      </c>
      <c r="H81" s="30"/>
      <c r="I81" s="30" t="b">
        <v>0</v>
      </c>
      <c r="J81" s="47" t="b">
        <v>0</v>
      </c>
      <c r="K81" s="33"/>
      <c r="L81" s="33"/>
      <c r="M81" s="20"/>
      <c r="N81" s="20"/>
      <c r="O81" s="20"/>
      <c r="P81" s="20"/>
    </row>
    <row r="82" spans="1:16" ht="24" customHeight="1" x14ac:dyDescent="0.25">
      <c r="A82" s="20"/>
      <c r="B82" s="46"/>
      <c r="C82" s="41" t="s">
        <v>207</v>
      </c>
      <c r="D82" s="39"/>
      <c r="E82" s="39"/>
      <c r="F82" s="81"/>
      <c r="G82" s="34" t="s">
        <v>19</v>
      </c>
      <c r="H82" s="30"/>
      <c r="I82" s="30" t="b">
        <v>0</v>
      </c>
      <c r="J82" s="47"/>
      <c r="K82" s="33"/>
      <c r="L82" s="33"/>
      <c r="M82" s="20"/>
      <c r="N82" s="20"/>
      <c r="O82" s="20"/>
      <c r="P82" s="20"/>
    </row>
    <row r="83" spans="1:16" ht="24" customHeight="1" x14ac:dyDescent="0.25">
      <c r="A83" s="20"/>
      <c r="B83" s="46"/>
      <c r="C83" s="41" t="s">
        <v>207</v>
      </c>
      <c r="D83" s="39"/>
      <c r="E83" s="39"/>
      <c r="F83" s="81"/>
      <c r="G83" s="34" t="s">
        <v>19</v>
      </c>
      <c r="H83" s="30"/>
      <c r="I83" s="30" t="b">
        <v>0</v>
      </c>
      <c r="J83" s="47"/>
      <c r="K83" s="33"/>
      <c r="L83" s="33"/>
      <c r="M83" s="20"/>
      <c r="N83" s="20"/>
      <c r="O83" s="20"/>
      <c r="P83" s="20"/>
    </row>
    <row r="84" spans="1:16" ht="24" customHeight="1" x14ac:dyDescent="0.25">
      <c r="A84" s="20"/>
      <c r="B84" s="46"/>
      <c r="C84" s="41" t="s">
        <v>207</v>
      </c>
      <c r="D84" s="39"/>
      <c r="E84" s="39"/>
      <c r="F84" s="81"/>
      <c r="G84" s="34" t="s">
        <v>19</v>
      </c>
      <c r="H84" s="30"/>
      <c r="I84" s="30" t="b">
        <v>0</v>
      </c>
      <c r="J84" s="47"/>
      <c r="K84" s="33"/>
      <c r="L84" s="33"/>
      <c r="M84" s="20"/>
      <c r="N84" s="20"/>
      <c r="O84" s="20"/>
      <c r="P84" s="20"/>
    </row>
    <row r="85" spans="1:16" ht="24" customHeight="1" x14ac:dyDescent="0.25">
      <c r="A85" s="20"/>
      <c r="B85" s="46"/>
      <c r="C85" s="41" t="s">
        <v>207</v>
      </c>
      <c r="D85" s="39"/>
      <c r="E85" s="39"/>
      <c r="F85" s="81"/>
      <c r="G85" s="34" t="s">
        <v>19</v>
      </c>
      <c r="H85" s="30"/>
      <c r="I85" s="30" t="b">
        <v>0</v>
      </c>
      <c r="J85" s="47"/>
      <c r="K85" s="33"/>
      <c r="L85" s="33"/>
      <c r="M85" s="20"/>
      <c r="N85" s="20"/>
      <c r="O85" s="20"/>
      <c r="P85" s="20"/>
    </row>
    <row r="86" spans="1:16" ht="24" customHeight="1" x14ac:dyDescent="0.25">
      <c r="A86" s="20"/>
      <c r="B86" s="46"/>
      <c r="C86" s="41" t="s">
        <v>207</v>
      </c>
      <c r="D86" s="39"/>
      <c r="E86" s="39"/>
      <c r="F86" s="81"/>
      <c r="G86" s="34" t="s">
        <v>19</v>
      </c>
      <c r="H86" s="30"/>
      <c r="I86" s="30" t="b">
        <v>0</v>
      </c>
      <c r="J86" s="47"/>
      <c r="K86" s="33"/>
      <c r="L86" s="33"/>
      <c r="M86" s="20"/>
      <c r="N86" s="20"/>
      <c r="O86" s="20"/>
      <c r="P86" s="20"/>
    </row>
    <row r="87" spans="1:16" ht="24" customHeight="1" x14ac:dyDescent="0.25">
      <c r="A87" s="20"/>
      <c r="B87" s="46"/>
      <c r="C87" s="41" t="s">
        <v>207</v>
      </c>
      <c r="D87" s="39"/>
      <c r="E87" s="39"/>
      <c r="F87" s="81"/>
      <c r="G87" s="34" t="s">
        <v>19</v>
      </c>
      <c r="H87" s="30"/>
      <c r="I87" s="30" t="b">
        <v>0</v>
      </c>
      <c r="J87" s="47"/>
      <c r="K87" s="33"/>
      <c r="L87" s="33"/>
      <c r="M87" s="20"/>
      <c r="N87" s="20"/>
      <c r="O87" s="20"/>
      <c r="P87" s="20"/>
    </row>
    <row r="88" spans="1:16" ht="24" customHeight="1" x14ac:dyDescent="0.25">
      <c r="A88" s="20"/>
      <c r="B88" s="46"/>
      <c r="C88" s="41" t="s">
        <v>207</v>
      </c>
      <c r="D88" s="39"/>
      <c r="E88" s="39"/>
      <c r="F88" s="81"/>
      <c r="G88" s="34" t="s">
        <v>19</v>
      </c>
      <c r="H88" s="30"/>
      <c r="I88" s="30" t="b">
        <v>0</v>
      </c>
      <c r="J88" s="47" t="b">
        <v>0</v>
      </c>
      <c r="K88" s="33"/>
      <c r="L88" s="33"/>
      <c r="M88" s="20"/>
      <c r="N88" s="20"/>
      <c r="O88" s="20"/>
      <c r="P88" s="20"/>
    </row>
    <row r="89" spans="1:16" ht="24" customHeight="1" x14ac:dyDescent="0.25">
      <c r="A89" s="20"/>
      <c r="B89" s="46"/>
      <c r="C89" s="41" t="s">
        <v>207</v>
      </c>
      <c r="D89"/>
      <c r="E89"/>
      <c r="F89"/>
      <c r="G89" s="34" t="s">
        <v>19</v>
      </c>
      <c r="H89" s="87" t="b">
        <v>0</v>
      </c>
      <c r="I89" s="87" t="b">
        <v>0</v>
      </c>
      <c r="J89" s="87" t="b">
        <v>0</v>
      </c>
      <c r="K89" s="33"/>
      <c r="L89" s="33"/>
      <c r="M89" s="20"/>
      <c r="N89" s="20"/>
      <c r="O89" s="20"/>
      <c r="P89" s="20"/>
    </row>
    <row r="90" spans="1:16" ht="24" customHeight="1" x14ac:dyDescent="0.25">
      <c r="A90" s="20"/>
      <c r="B90" s="46"/>
      <c r="C90" s="41" t="s">
        <v>207</v>
      </c>
      <c r="D90"/>
      <c r="E90"/>
      <c r="F90"/>
      <c r="G90" s="34" t="s">
        <v>19</v>
      </c>
      <c r="H90" s="87"/>
      <c r="I90" s="87" t="b">
        <v>0</v>
      </c>
      <c r="J90" s="87" t="b">
        <v>0</v>
      </c>
      <c r="K90" s="33"/>
      <c r="L90" s="33"/>
      <c r="M90" s="20"/>
      <c r="N90" s="20"/>
      <c r="O90" s="20"/>
      <c r="P90" s="20"/>
    </row>
    <row r="91" spans="1:16" ht="24" customHeight="1" x14ac:dyDescent="0.25">
      <c r="A91" s="20"/>
      <c r="B91" s="46"/>
      <c r="C91" s="41" t="s">
        <v>207</v>
      </c>
      <c r="D91"/>
      <c r="E91"/>
      <c r="F91"/>
      <c r="G91" s="34" t="s">
        <v>19</v>
      </c>
      <c r="H91" s="87"/>
      <c r="I91" s="87" t="b">
        <v>0</v>
      </c>
      <c r="J91" s="87" t="b">
        <v>0</v>
      </c>
      <c r="K91" s="33"/>
      <c r="L91" s="33"/>
      <c r="M91" s="20"/>
      <c r="N91" s="20"/>
      <c r="O91" s="20"/>
      <c r="P91" s="20"/>
    </row>
    <row r="92" spans="1:16" ht="24" customHeight="1" x14ac:dyDescent="0.25">
      <c r="A92" s="20"/>
      <c r="B92" s="46"/>
      <c r="C92" s="41" t="s">
        <v>207</v>
      </c>
      <c r="D92"/>
      <c r="E92"/>
      <c r="F92"/>
      <c r="G92" s="34" t="s">
        <v>19</v>
      </c>
      <c r="H92" s="87"/>
      <c r="I92" s="87" t="b">
        <v>0</v>
      </c>
      <c r="J92" s="87" t="b">
        <v>0</v>
      </c>
      <c r="K92" s="33"/>
      <c r="L92" s="33"/>
      <c r="M92" s="20"/>
      <c r="N92" s="20"/>
      <c r="O92" s="20"/>
      <c r="P92" s="20"/>
    </row>
    <row r="93" spans="1:16" ht="24" customHeight="1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33"/>
      <c r="L93" s="33"/>
      <c r="M93" s="20"/>
      <c r="N93" s="20"/>
      <c r="O93" s="20"/>
      <c r="P93" s="20"/>
    </row>
    <row r="94" spans="1:16" ht="24" customHeight="1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33"/>
      <c r="L94" s="33"/>
      <c r="M94" s="20"/>
      <c r="N94" s="20"/>
      <c r="O94" s="20"/>
      <c r="P94" s="20"/>
    </row>
    <row r="95" spans="1:16" ht="24" customHeight="1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33"/>
      <c r="L95" s="33"/>
      <c r="M95" s="20"/>
      <c r="N95" s="20"/>
      <c r="O95" s="20"/>
      <c r="P95" s="20"/>
    </row>
    <row r="96" spans="1:16" ht="24" customHeight="1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33"/>
      <c r="L96" s="33"/>
      <c r="M96" s="20"/>
      <c r="N96" s="20"/>
      <c r="O96" s="20"/>
      <c r="P96" s="20"/>
    </row>
    <row r="97" spans="1:16" ht="24" customHeight="1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33"/>
      <c r="L97" s="33"/>
      <c r="M97" s="20"/>
      <c r="N97" s="20"/>
      <c r="O97" s="20"/>
      <c r="P97" s="20"/>
    </row>
    <row r="98" spans="1:16" ht="24" customHeight="1" x14ac:dyDescent="0.25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33"/>
      <c r="L98" s="33"/>
      <c r="M98" s="20"/>
      <c r="N98" s="20"/>
      <c r="O98" s="20"/>
      <c r="P98" s="20"/>
    </row>
    <row r="99" spans="1:16" ht="24" customHeight="1" x14ac:dyDescent="0.25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33"/>
      <c r="L99" s="33"/>
      <c r="M99" s="20"/>
      <c r="N99" s="20"/>
      <c r="O99" s="20"/>
      <c r="P99" s="20"/>
    </row>
    <row r="100" spans="1:16" ht="24" customHeight="1" x14ac:dyDescent="0.25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33"/>
      <c r="L100" s="33"/>
      <c r="M100" s="20"/>
      <c r="N100" s="20"/>
      <c r="O100" s="20"/>
      <c r="P100" s="20"/>
    </row>
    <row r="101" spans="1:16" ht="24" customHeight="1" x14ac:dyDescent="0.25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33"/>
      <c r="L101" s="33"/>
      <c r="M101" s="20"/>
      <c r="N101" s="20"/>
      <c r="O101" s="20"/>
      <c r="P101" s="20"/>
    </row>
    <row r="102" spans="1:16" ht="24" customHeight="1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33"/>
      <c r="L102" s="33"/>
      <c r="M102" s="20"/>
      <c r="N102" s="20"/>
      <c r="O102" s="20"/>
      <c r="P102" s="20"/>
    </row>
    <row r="103" spans="1:16" ht="24" customHeight="1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33"/>
      <c r="L103" s="33"/>
      <c r="M103" s="20"/>
      <c r="N103" s="20"/>
      <c r="O103" s="20"/>
      <c r="P103" s="20"/>
    </row>
    <row r="104" spans="1:16" ht="24" customHeight="1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33"/>
      <c r="L104" s="33"/>
      <c r="M104" s="20"/>
      <c r="N104" s="20"/>
      <c r="O104" s="20"/>
      <c r="P104" s="20"/>
    </row>
    <row r="105" spans="1:16" ht="24" customHeight="1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33"/>
      <c r="L105" s="33"/>
      <c r="M105" s="20"/>
      <c r="N105" s="20"/>
      <c r="O105" s="20"/>
      <c r="P105" s="20"/>
    </row>
    <row r="106" spans="1:16" ht="24" customHeight="1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33"/>
      <c r="L106" s="33"/>
      <c r="M106" s="20"/>
      <c r="N106" s="20"/>
      <c r="O106" s="20"/>
      <c r="P106" s="20"/>
    </row>
    <row r="107" spans="1:16" ht="24" customHeight="1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33"/>
      <c r="L107" s="33"/>
      <c r="M107" s="20"/>
      <c r="N107" s="20"/>
      <c r="O107" s="20"/>
      <c r="P107" s="20"/>
    </row>
    <row r="108" spans="1:16" ht="24" customHeight="1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33"/>
      <c r="L108" s="33"/>
      <c r="M108" s="20"/>
      <c r="N108" s="20"/>
      <c r="O108" s="20"/>
      <c r="P108" s="20"/>
    </row>
    <row r="109" spans="1:16" ht="24" customHeight="1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33"/>
      <c r="L109" s="33"/>
      <c r="M109" s="20"/>
      <c r="N109" s="20"/>
      <c r="O109" s="20"/>
      <c r="P109" s="20"/>
    </row>
    <row r="110" spans="1:16" ht="24" customHeight="1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33"/>
      <c r="L110" s="33"/>
      <c r="M110" s="20"/>
      <c r="N110" s="20"/>
      <c r="O110" s="20"/>
      <c r="P110" s="20"/>
    </row>
    <row r="111" spans="1:16" ht="24" customHeight="1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33"/>
      <c r="L111" s="33"/>
      <c r="M111" s="20"/>
      <c r="N111" s="20"/>
      <c r="O111" s="20"/>
      <c r="P111" s="20"/>
    </row>
    <row r="112" spans="1:16" ht="24" customHeight="1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33"/>
      <c r="L112" s="33"/>
      <c r="M112" s="20"/>
      <c r="N112" s="20"/>
      <c r="O112" s="20"/>
      <c r="P112" s="20"/>
    </row>
    <row r="113" spans="1:16" ht="24" customHeight="1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33"/>
      <c r="L113" s="33"/>
      <c r="M113" s="20"/>
      <c r="N113" s="20"/>
      <c r="O113" s="20"/>
      <c r="P113" s="20"/>
    </row>
    <row r="114" spans="1:16" ht="24" customHeight="1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33"/>
      <c r="L114" s="33"/>
      <c r="M114" s="20"/>
      <c r="N114" s="20"/>
      <c r="O114" s="20"/>
      <c r="P114" s="20"/>
    </row>
    <row r="115" spans="1:16" ht="24" customHeight="1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33"/>
      <c r="L115" s="33"/>
      <c r="M115" s="20"/>
      <c r="N115" s="20"/>
      <c r="O115" s="20"/>
      <c r="P115" s="20"/>
    </row>
    <row r="116" spans="1:16" ht="24" customHeight="1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33"/>
      <c r="L116" s="33"/>
      <c r="M116" s="20"/>
      <c r="N116" s="20"/>
      <c r="O116" s="20"/>
      <c r="P116" s="20"/>
    </row>
    <row r="117" spans="1:16" ht="24" customHeight="1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33"/>
      <c r="L117" s="33"/>
      <c r="M117" s="20"/>
      <c r="N117" s="20"/>
      <c r="O117" s="20"/>
      <c r="P117" s="20"/>
    </row>
    <row r="118" spans="1:16" ht="24" customHeight="1" x14ac:dyDescent="0.25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33"/>
      <c r="L118" s="33"/>
      <c r="M118" s="20"/>
      <c r="N118" s="20"/>
      <c r="O118" s="20"/>
      <c r="P118" s="20"/>
    </row>
    <row r="119" spans="1:16" ht="24" customHeight="1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33"/>
      <c r="L119" s="33"/>
      <c r="M119" s="20"/>
      <c r="N119" s="20"/>
      <c r="O119" s="20"/>
      <c r="P119" s="20"/>
    </row>
    <row r="120" spans="1:16" ht="24" customHeight="1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33"/>
      <c r="L120" s="33"/>
      <c r="M120" s="20"/>
      <c r="N120" s="20"/>
      <c r="O120" s="20"/>
      <c r="P120" s="20"/>
    </row>
    <row r="121" spans="1:16" ht="24" customHeight="1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33"/>
      <c r="L121" s="33"/>
      <c r="M121" s="20"/>
      <c r="N121" s="20"/>
      <c r="O121" s="20"/>
      <c r="P121" s="20"/>
    </row>
    <row r="122" spans="1:16" ht="24" customHeight="1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33"/>
      <c r="L122" s="33"/>
      <c r="M122" s="20"/>
      <c r="N122" s="20"/>
      <c r="O122" s="20"/>
      <c r="P122" s="20"/>
    </row>
    <row r="123" spans="1:16" ht="24" customHeight="1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33"/>
      <c r="L123" s="33"/>
      <c r="M123" s="20"/>
      <c r="N123" s="20"/>
      <c r="O123" s="20"/>
      <c r="P123" s="20"/>
    </row>
    <row r="124" spans="1:16" ht="24" customHeight="1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33"/>
      <c r="L124" s="33"/>
      <c r="M124" s="20"/>
      <c r="N124" s="20"/>
      <c r="O124" s="20"/>
      <c r="P124" s="20"/>
    </row>
    <row r="125" spans="1:16" ht="24" customHeight="1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33"/>
      <c r="L125" s="33"/>
      <c r="M125" s="20"/>
      <c r="N125" s="20"/>
      <c r="O125" s="20"/>
      <c r="P125" s="20"/>
    </row>
    <row r="126" spans="1:16" ht="24" customHeight="1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33"/>
      <c r="L126" s="33"/>
      <c r="M126" s="20"/>
      <c r="N126" s="20"/>
      <c r="O126" s="20"/>
      <c r="P126" s="20"/>
    </row>
    <row r="127" spans="1:16" ht="24" customHeight="1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33"/>
      <c r="L127" s="33"/>
      <c r="M127" s="20"/>
      <c r="N127" s="20"/>
      <c r="O127" s="20"/>
      <c r="P127" s="20"/>
    </row>
    <row r="128" spans="1:16" ht="24" customHeight="1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33"/>
      <c r="L128" s="33"/>
      <c r="M128" s="20"/>
      <c r="N128" s="20"/>
      <c r="O128" s="20"/>
      <c r="P128" s="20"/>
    </row>
    <row r="129" spans="1:16" ht="24" customHeight="1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33"/>
      <c r="L129" s="33"/>
      <c r="M129" s="20"/>
      <c r="N129" s="20"/>
      <c r="O129" s="20"/>
      <c r="P129" s="20"/>
    </row>
    <row r="130" spans="1:16" ht="24" customHeight="1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33"/>
      <c r="L130" s="33"/>
      <c r="M130" s="20"/>
      <c r="N130" s="20"/>
      <c r="O130" s="20"/>
      <c r="P130" s="20"/>
    </row>
    <row r="131" spans="1:16" ht="24" customHeight="1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33"/>
      <c r="L131" s="33"/>
      <c r="M131" s="20"/>
      <c r="N131" s="20"/>
      <c r="O131" s="20"/>
      <c r="P131" s="20"/>
    </row>
    <row r="132" spans="1:16" ht="24" customHeight="1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33"/>
      <c r="L132" s="33"/>
      <c r="M132" s="20"/>
      <c r="N132" s="20"/>
      <c r="O132" s="20"/>
      <c r="P132" s="20"/>
    </row>
    <row r="133" spans="1:16" ht="24" customHeight="1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33"/>
      <c r="L133" s="33"/>
      <c r="M133" s="20"/>
      <c r="N133" s="20"/>
      <c r="O133" s="20"/>
      <c r="P133" s="20"/>
    </row>
    <row r="134" spans="1:16" ht="24" customHeight="1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33"/>
      <c r="L134" s="33"/>
      <c r="M134" s="20"/>
      <c r="N134" s="20"/>
      <c r="O134" s="20"/>
      <c r="P134" s="20"/>
    </row>
    <row r="135" spans="1:16" ht="24" customHeight="1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33"/>
      <c r="L135" s="33"/>
      <c r="M135" s="20"/>
      <c r="N135" s="20"/>
      <c r="O135" s="20"/>
      <c r="P135" s="20"/>
    </row>
    <row r="136" spans="1:16" ht="24" customHeight="1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33"/>
      <c r="L136" s="33"/>
      <c r="M136" s="20"/>
      <c r="N136" s="20"/>
      <c r="O136" s="20"/>
      <c r="P136" s="20"/>
    </row>
    <row r="137" spans="1:16" ht="24" customHeight="1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33"/>
      <c r="L137" s="33"/>
      <c r="M137" s="20"/>
      <c r="N137" s="20"/>
      <c r="O137" s="20"/>
      <c r="P137" s="20"/>
    </row>
    <row r="138" spans="1:16" ht="24" customHeight="1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33"/>
      <c r="L138" s="33"/>
      <c r="M138" s="20"/>
      <c r="N138" s="20"/>
      <c r="O138" s="20"/>
      <c r="P138" s="20"/>
    </row>
    <row r="139" spans="1:16" ht="24" customHeight="1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33"/>
      <c r="L139" s="33"/>
      <c r="M139" s="20"/>
      <c r="N139" s="20"/>
      <c r="O139" s="20"/>
      <c r="P139" s="20"/>
    </row>
    <row r="140" spans="1:16" ht="24" customHeight="1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33"/>
      <c r="L140" s="33"/>
      <c r="M140" s="20"/>
      <c r="N140" s="20"/>
      <c r="O140" s="20"/>
      <c r="P140" s="20"/>
    </row>
    <row r="141" spans="1:16" ht="24" customHeight="1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33"/>
      <c r="L141" s="33"/>
      <c r="M141" s="20"/>
      <c r="N141" s="20"/>
      <c r="O141" s="20"/>
      <c r="P141" s="20"/>
    </row>
    <row r="142" spans="1:16" ht="24" customHeight="1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33"/>
      <c r="L142" s="33"/>
      <c r="M142" s="20"/>
      <c r="N142" s="20"/>
      <c r="O142" s="20"/>
      <c r="P142" s="20"/>
    </row>
    <row r="143" spans="1:16" ht="24" customHeight="1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33"/>
      <c r="L143" s="33"/>
      <c r="M143" s="20"/>
      <c r="N143" s="20"/>
      <c r="O143" s="20"/>
      <c r="P143" s="20"/>
    </row>
    <row r="144" spans="1:16" ht="24" customHeight="1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33"/>
      <c r="L144" s="33"/>
      <c r="M144" s="20"/>
      <c r="N144" s="20"/>
      <c r="O144" s="20"/>
      <c r="P144" s="20"/>
    </row>
    <row r="145" spans="1:16" ht="24" customHeight="1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33"/>
      <c r="L145" s="33"/>
      <c r="M145" s="20"/>
      <c r="N145" s="20"/>
      <c r="O145" s="20"/>
      <c r="P145" s="20"/>
    </row>
    <row r="146" spans="1:16" ht="24" customHeight="1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33"/>
      <c r="L146" s="33"/>
      <c r="M146" s="20"/>
      <c r="N146" s="20"/>
      <c r="O146" s="20"/>
      <c r="P146" s="20"/>
    </row>
    <row r="147" spans="1:16" ht="24" customHeight="1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33"/>
      <c r="L147" s="33"/>
      <c r="M147" s="20"/>
      <c r="N147" s="20"/>
      <c r="O147" s="20"/>
      <c r="P147" s="20"/>
    </row>
    <row r="148" spans="1:16" ht="24" customHeight="1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33"/>
      <c r="L148" s="33"/>
      <c r="M148" s="20"/>
      <c r="N148" s="20"/>
      <c r="O148" s="20"/>
      <c r="P148" s="20"/>
    </row>
    <row r="149" spans="1:16" ht="24" customHeight="1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33"/>
      <c r="L149" s="33"/>
      <c r="M149" s="20"/>
      <c r="N149" s="20"/>
      <c r="O149" s="20"/>
      <c r="P149" s="20"/>
    </row>
    <row r="150" spans="1:16" ht="24" customHeight="1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33"/>
      <c r="L150" s="33"/>
      <c r="M150" s="20"/>
      <c r="N150" s="20"/>
      <c r="O150" s="20"/>
      <c r="P150" s="20"/>
    </row>
    <row r="151" spans="1:16" ht="24" customHeight="1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33"/>
      <c r="L151" s="33"/>
      <c r="M151" s="20"/>
      <c r="N151" s="20"/>
      <c r="O151" s="20"/>
      <c r="P151" s="20"/>
    </row>
    <row r="152" spans="1:16" ht="24" customHeight="1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33"/>
      <c r="L152" s="33"/>
      <c r="M152" s="20"/>
      <c r="N152" s="20"/>
      <c r="O152" s="20"/>
      <c r="P152" s="20"/>
    </row>
    <row r="153" spans="1:16" ht="24" customHeight="1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33"/>
      <c r="L153" s="33"/>
      <c r="M153" s="20"/>
      <c r="N153" s="20"/>
      <c r="O153" s="20"/>
      <c r="P153" s="20"/>
    </row>
    <row r="154" spans="1:16" ht="24" customHeight="1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33"/>
      <c r="L154" s="33"/>
      <c r="M154" s="20"/>
      <c r="N154" s="20"/>
      <c r="O154" s="20"/>
      <c r="P154" s="20"/>
    </row>
    <row r="155" spans="1:16" ht="24" customHeight="1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33"/>
      <c r="L155" s="33"/>
      <c r="M155" s="20"/>
      <c r="N155" s="20"/>
      <c r="O155" s="20"/>
      <c r="P155" s="20"/>
    </row>
    <row r="156" spans="1:16" ht="24" customHeight="1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33"/>
      <c r="L156" s="33"/>
      <c r="M156" s="20"/>
      <c r="N156" s="20"/>
      <c r="O156" s="20"/>
      <c r="P156" s="20"/>
    </row>
    <row r="157" spans="1:16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33"/>
      <c r="L157" s="31"/>
      <c r="M157" s="20"/>
      <c r="N157" s="20"/>
      <c r="O157" s="20"/>
      <c r="P157" s="20"/>
    </row>
    <row r="158" spans="1:16" x14ac:dyDescent="0.25">
      <c r="A158" s="20"/>
      <c r="B158" s="31"/>
      <c r="C158" s="31"/>
      <c r="D158" s="31"/>
      <c r="E158" s="31"/>
      <c r="F158" s="31"/>
      <c r="G158" s="31"/>
      <c r="H158" s="31"/>
      <c r="I158" s="31"/>
      <c r="J158" s="31"/>
      <c r="K158" s="33"/>
      <c r="L158" s="31"/>
      <c r="M158" s="20"/>
      <c r="N158" s="20"/>
      <c r="O158" s="20"/>
      <c r="P158" s="20"/>
    </row>
    <row r="159" spans="1:16" x14ac:dyDescent="0.25">
      <c r="A159" s="20"/>
      <c r="B159" s="31"/>
      <c r="C159" s="31"/>
      <c r="D159" s="31"/>
      <c r="E159" s="31"/>
      <c r="F159" s="31"/>
      <c r="G159" s="31"/>
      <c r="H159" s="31"/>
      <c r="I159" s="31"/>
      <c r="J159" s="31"/>
      <c r="K159" s="33"/>
      <c r="L159" s="31"/>
      <c r="M159" s="20"/>
      <c r="N159" s="20"/>
      <c r="O159" s="20"/>
      <c r="P159" s="20"/>
    </row>
    <row r="160" spans="1:16" x14ac:dyDescent="0.25">
      <c r="A160" s="20"/>
      <c r="B160" s="31"/>
      <c r="C160" s="31"/>
      <c r="D160" s="31"/>
      <c r="E160" s="31"/>
      <c r="F160" s="31"/>
      <c r="G160" s="31"/>
      <c r="H160" s="31"/>
      <c r="I160" s="31"/>
      <c r="J160" s="31"/>
      <c r="K160" s="33"/>
      <c r="L160" s="31"/>
      <c r="M160" s="20"/>
      <c r="N160" s="20"/>
      <c r="O160" s="20"/>
      <c r="P160" s="20"/>
    </row>
    <row r="161" spans="1:16" x14ac:dyDescent="0.25">
      <c r="A161" s="20"/>
      <c r="B161" s="31"/>
      <c r="C161" s="31"/>
      <c r="D161" s="31"/>
      <c r="E161" s="31"/>
      <c r="F161" s="31"/>
      <c r="G161" s="31"/>
      <c r="H161" s="31"/>
      <c r="I161" s="31"/>
      <c r="J161" s="31"/>
      <c r="K161" s="33"/>
      <c r="L161" s="31"/>
      <c r="M161" s="20"/>
      <c r="N161" s="20"/>
      <c r="O161" s="20"/>
      <c r="P161" s="20"/>
    </row>
    <row r="162" spans="1:16" x14ac:dyDescent="0.25">
      <c r="A162" s="20"/>
      <c r="B162" s="31"/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20"/>
      <c r="N162" s="20"/>
      <c r="O162" s="20"/>
      <c r="P162" s="20"/>
    </row>
    <row r="163" spans="1:16" x14ac:dyDescent="0.25">
      <c r="A163" s="20"/>
      <c r="B163" s="31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20"/>
      <c r="N163" s="20"/>
      <c r="O163" s="20"/>
      <c r="P163" s="20"/>
    </row>
    <row r="164" spans="1:16" x14ac:dyDescent="0.25">
      <c r="A164" s="20"/>
      <c r="B164" s="31"/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20"/>
      <c r="N164" s="20"/>
      <c r="O164" s="20"/>
      <c r="P164" s="20"/>
    </row>
    <row r="165" spans="1:16" x14ac:dyDescent="0.25">
      <c r="A165" s="20"/>
      <c r="B165" s="31"/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20"/>
      <c r="N165" s="20"/>
      <c r="O165" s="20"/>
      <c r="P165" s="20"/>
    </row>
    <row r="166" spans="1:16" x14ac:dyDescent="0.25">
      <c r="A166" s="20"/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20"/>
      <c r="N166" s="20"/>
      <c r="O166" s="20"/>
      <c r="P166" s="20"/>
    </row>
    <row r="167" spans="1:16" x14ac:dyDescent="0.25">
      <c r="A167" s="20"/>
      <c r="B167" s="31"/>
      <c r="C167" s="31"/>
      <c r="D167" s="31"/>
      <c r="E167" s="31"/>
      <c r="F167" s="31"/>
      <c r="G167" s="31"/>
      <c r="H167" s="31"/>
      <c r="I167" s="31"/>
      <c r="J167" s="31"/>
      <c r="P167" s="20"/>
    </row>
  </sheetData>
  <mergeCells count="8">
    <mergeCell ref="B2:D7"/>
    <mergeCell ref="L10:N10"/>
    <mergeCell ref="L13:N13"/>
    <mergeCell ref="L3:N5"/>
    <mergeCell ref="E3:G3"/>
    <mergeCell ref="E4:F4"/>
    <mergeCell ref="E5:F5"/>
    <mergeCell ref="E6:F6"/>
  </mergeCells>
  <conditionalFormatting sqref="H59:H92">
    <cfRule type="expression" dxfId="46" priority="17">
      <formula>G59:G204="Gold"</formula>
    </cfRule>
  </conditionalFormatting>
  <conditionalFormatting sqref="I59:I92">
    <cfRule type="expression" dxfId="45" priority="14">
      <formula>G59:G204="Silver"</formula>
    </cfRule>
    <cfRule type="expression" dxfId="44" priority="15">
      <formula>G59:G204="Gold"</formula>
    </cfRule>
  </conditionalFormatting>
  <conditionalFormatting sqref="J59:J92">
    <cfRule type="expression" dxfId="43" priority="11">
      <formula>G59:G204="Silver"</formula>
    </cfRule>
    <cfRule type="expression" dxfId="42" priority="12">
      <formula>G59:G204="Gold"</formula>
    </cfRule>
    <cfRule type="expression" dxfId="41" priority="13">
      <formula>G59:G204="Platinum"</formula>
    </cfRule>
  </conditionalFormatting>
  <conditionalFormatting sqref="G9:G92">
    <cfRule type="cellIs" dxfId="40" priority="7" operator="equal">
      <formula>"Bronze"</formula>
    </cfRule>
    <cfRule type="cellIs" dxfId="39" priority="8" operator="equal">
      <formula>"Platinum"</formula>
    </cfRule>
    <cfRule type="cellIs" dxfId="38" priority="9" operator="equal">
      <formula>"Silver"</formula>
    </cfRule>
    <cfRule type="cellIs" dxfId="37" priority="10" operator="equal">
      <formula>"Gold"</formula>
    </cfRule>
  </conditionalFormatting>
  <conditionalFormatting sqref="I4:I6">
    <cfRule type="cellIs" dxfId="36" priority="5" operator="equal">
      <formula>"Not Met"</formula>
    </cfRule>
    <cfRule type="cellIs" dxfId="35" priority="6" operator="equal">
      <formula>"Met"</formula>
    </cfRule>
  </conditionalFormatting>
  <conditionalFormatting sqref="H32:H58">
    <cfRule type="expression" dxfId="34" priority="52">
      <formula>G32:G178="Gold"</formula>
    </cfRule>
  </conditionalFormatting>
  <conditionalFormatting sqref="I32:I58">
    <cfRule type="expression" dxfId="33" priority="55">
      <formula>G32:G178="Silver"</formula>
    </cfRule>
    <cfRule type="expression" dxfId="32" priority="56">
      <formula>G32:G178="Gold"</formula>
    </cfRule>
  </conditionalFormatting>
  <conditionalFormatting sqref="J32:J58">
    <cfRule type="expression" dxfId="31" priority="59">
      <formula>G32:G178="Silver"</formula>
    </cfRule>
    <cfRule type="expression" dxfId="30" priority="60">
      <formula>G32:G178="Gold"</formula>
    </cfRule>
    <cfRule type="expression" dxfId="29" priority="61">
      <formula>G32:G178="Platinum"</formula>
    </cfRule>
  </conditionalFormatting>
  <conditionalFormatting sqref="H9:H31">
    <cfRule type="expression" dxfId="28" priority="67">
      <formula>G9:G156="Gold"</formula>
    </cfRule>
  </conditionalFormatting>
  <conditionalFormatting sqref="I9:I31">
    <cfRule type="expression" dxfId="27" priority="70">
      <formula>G9:G156="Silver"</formula>
    </cfRule>
    <cfRule type="expression" dxfId="26" priority="71">
      <formula>G9:G156="Gold"</formula>
    </cfRule>
  </conditionalFormatting>
  <conditionalFormatting sqref="J9:J31">
    <cfRule type="expression" dxfId="25" priority="74">
      <formula>G9:G156="Silver"</formula>
    </cfRule>
    <cfRule type="expression" dxfId="24" priority="75">
      <formula>G9:G156="Gold"</formula>
    </cfRule>
    <cfRule type="expression" dxfId="23" priority="76">
      <formula>G9:G156="Platinum"</formula>
    </cfRule>
  </conditionalFormatting>
  <conditionalFormatting sqref="L3">
    <cfRule type="cellIs" dxfId="22" priority="3" operator="equal">
      <formula>"Bonus Eligible!"</formula>
    </cfRule>
    <cfRule type="cellIs" dxfId="21" priority="4" operator="equal">
      <formula>"Not Bonus Eligible"</formula>
    </cfRule>
  </conditionalFormatting>
  <conditionalFormatting sqref="L22:N22">
    <cfRule type="cellIs" dxfId="20" priority="2" operator="equal">
      <formula>"Not Eligible"</formula>
    </cfRule>
  </conditionalFormatting>
  <conditionalFormatting sqref="L22:N22">
    <cfRule type="cellIs" dxfId="19" priority="1" operator="equal">
      <formula>"Eligible"</formula>
    </cfRule>
  </conditionalFormatting>
  <pageMargins left="0.7" right="0.7" top="0.75" bottom="0.75" header="0.3" footer="0.3"/>
  <pageSetup orientation="portrait" r:id="rId1"/>
  <cellWatches>
    <cellWatch r="E3"/>
    <cellWatch r="E4"/>
    <cellWatch r="E5"/>
    <cellWatch r="E6"/>
    <cellWatch r="H3"/>
    <cellWatch r="I3"/>
    <cellWatch r="H4"/>
    <cellWatch r="I4"/>
    <cellWatch r="H5"/>
    <cellWatch r="I5"/>
    <cellWatch r="H6"/>
    <cellWatch r="I6"/>
  </cellWatches>
  <ignoredErrors>
    <ignoredError sqref="I5" formula="1"/>
  </ignoredErrors>
  <drawing r:id="rId2"/>
  <legacyDrawing r:id="rId3"/>
  <controls>
    <mc:AlternateContent xmlns:mc="http://schemas.openxmlformats.org/markup-compatibility/2006">
      <mc:Choice Requires="x14">
        <control shapeId="7425" r:id="rId4" name="TextBox1">
          <controlPr defaultSize="0" autoLine="0" altText="Clear All Checkboxes at beginning of a new month with Ctrl+Shift+D" r:id="rId5">
            <anchor moveWithCells="1">
              <from>
                <xdr:col>1</xdr:col>
                <xdr:colOff>952500</xdr:colOff>
                <xdr:row>5</xdr:row>
                <xdr:rowOff>28575</xdr:rowOff>
              </from>
              <to>
                <xdr:col>3</xdr:col>
                <xdr:colOff>619125</xdr:colOff>
                <xdr:row>6</xdr:row>
                <xdr:rowOff>85725</xdr:rowOff>
              </to>
            </anchor>
          </controlPr>
        </control>
      </mc:Choice>
      <mc:Fallback>
        <control shapeId="7425" r:id="rId4" name="TextBox1"/>
      </mc:Fallback>
    </mc:AlternateContent>
    <mc:AlternateContent xmlns:mc="http://schemas.openxmlformats.org/markup-compatibility/2006">
      <mc:Choice Requires="x14">
        <control shapeId="6160" r:id="rId6" name="Check Box 16">
          <controlPr defaultSize="0" autoFill="0" autoLine="0" autoPict="0">
            <anchor moveWithCells="1">
              <from>
                <xdr:col>7</xdr:col>
                <xdr:colOff>514350</xdr:colOff>
                <xdr:row>8</xdr:row>
                <xdr:rowOff>0</xdr:rowOff>
              </from>
              <to>
                <xdr:col>7</xdr:col>
                <xdr:colOff>809625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61" r:id="rId7" name="Check Box 17">
          <controlPr defaultSize="0" autoFill="0" autoLine="0" autoPict="0">
            <anchor moveWithCells="1">
              <from>
                <xdr:col>8</xdr:col>
                <xdr:colOff>495300</xdr:colOff>
                <xdr:row>8</xdr:row>
                <xdr:rowOff>0</xdr:rowOff>
              </from>
              <to>
                <xdr:col>8</xdr:col>
                <xdr:colOff>790575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62" r:id="rId8" name="Check Box 18">
          <controlPr defaultSize="0" autoFill="0" autoLine="0" autoPict="0">
            <anchor moveWithCells="1">
              <from>
                <xdr:col>9</xdr:col>
                <xdr:colOff>533400</xdr:colOff>
                <xdr:row>8</xdr:row>
                <xdr:rowOff>0</xdr:rowOff>
              </from>
              <to>
                <xdr:col>9</xdr:col>
                <xdr:colOff>828675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64" r:id="rId9" name="Check Box 20">
          <controlPr defaultSize="0" autoFill="0" autoLine="0" autoPict="0">
            <anchor moveWithCells="1">
              <from>
                <xdr:col>7</xdr:col>
                <xdr:colOff>514350</xdr:colOff>
                <xdr:row>30</xdr:row>
                <xdr:rowOff>0</xdr:rowOff>
              </from>
              <to>
                <xdr:col>7</xdr:col>
                <xdr:colOff>809625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65" r:id="rId10" name="Check Box 21">
          <controlPr defaultSize="0" autoFill="0" autoLine="0" autoPict="0">
            <anchor moveWithCells="1">
              <from>
                <xdr:col>8</xdr:col>
                <xdr:colOff>495300</xdr:colOff>
                <xdr:row>30</xdr:row>
                <xdr:rowOff>0</xdr:rowOff>
              </from>
              <to>
                <xdr:col>8</xdr:col>
                <xdr:colOff>790575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66" r:id="rId11" name="Check Box 22">
          <controlPr defaultSize="0" autoFill="0" autoLine="0" autoPict="0">
            <anchor moveWithCells="1">
              <from>
                <xdr:col>9</xdr:col>
                <xdr:colOff>533400</xdr:colOff>
                <xdr:row>30</xdr:row>
                <xdr:rowOff>0</xdr:rowOff>
              </from>
              <to>
                <xdr:col>9</xdr:col>
                <xdr:colOff>828675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68" r:id="rId12" name="Check Box 24">
          <controlPr defaultSize="0" autoFill="0" autoLine="0" autoPict="0">
            <anchor moveWithCells="1">
              <from>
                <xdr:col>7</xdr:col>
                <xdr:colOff>514350</xdr:colOff>
                <xdr:row>31</xdr:row>
                <xdr:rowOff>0</xdr:rowOff>
              </from>
              <to>
                <xdr:col>7</xdr:col>
                <xdr:colOff>809625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69" r:id="rId13" name="Check Box 25">
          <controlPr defaultSize="0" autoFill="0" autoLine="0" autoPict="0">
            <anchor moveWithCells="1">
              <from>
                <xdr:col>8</xdr:col>
                <xdr:colOff>495300</xdr:colOff>
                <xdr:row>31</xdr:row>
                <xdr:rowOff>0</xdr:rowOff>
              </from>
              <to>
                <xdr:col>8</xdr:col>
                <xdr:colOff>790575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0" r:id="rId14" name="Check Box 26">
          <controlPr defaultSize="0" autoFill="0" autoLine="0" autoPict="0">
            <anchor moveWithCells="1">
              <from>
                <xdr:col>9</xdr:col>
                <xdr:colOff>533400</xdr:colOff>
                <xdr:row>31</xdr:row>
                <xdr:rowOff>0</xdr:rowOff>
              </from>
              <to>
                <xdr:col>9</xdr:col>
                <xdr:colOff>828675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2" r:id="rId15" name="Check Box 28">
          <controlPr defaultSize="0" autoFill="0" autoLine="0" autoPict="0">
            <anchor moveWithCells="1">
              <from>
                <xdr:col>7</xdr:col>
                <xdr:colOff>514350</xdr:colOff>
                <xdr:row>32</xdr:row>
                <xdr:rowOff>0</xdr:rowOff>
              </from>
              <to>
                <xdr:col>7</xdr:col>
                <xdr:colOff>809625</xdr:colOff>
                <xdr:row>33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3" r:id="rId16" name="Check Box 29">
          <controlPr defaultSize="0" autoFill="0" autoLine="0" autoPict="0">
            <anchor moveWithCells="1">
              <from>
                <xdr:col>8</xdr:col>
                <xdr:colOff>495300</xdr:colOff>
                <xdr:row>32</xdr:row>
                <xdr:rowOff>0</xdr:rowOff>
              </from>
              <to>
                <xdr:col>8</xdr:col>
                <xdr:colOff>790575</xdr:colOff>
                <xdr:row>33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4" r:id="rId17" name="Check Box 30">
          <controlPr defaultSize="0" autoFill="0" autoLine="0" autoPict="0">
            <anchor moveWithCells="1">
              <from>
                <xdr:col>9</xdr:col>
                <xdr:colOff>533400</xdr:colOff>
                <xdr:row>32</xdr:row>
                <xdr:rowOff>0</xdr:rowOff>
              </from>
              <to>
                <xdr:col>9</xdr:col>
                <xdr:colOff>828675</xdr:colOff>
                <xdr:row>33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6" r:id="rId18" name="Check Box 32">
          <controlPr defaultSize="0" autoFill="0" autoLine="0" autoPict="0">
            <anchor moveWithCells="1">
              <from>
                <xdr:col>7</xdr:col>
                <xdr:colOff>514350</xdr:colOff>
                <xdr:row>9</xdr:row>
                <xdr:rowOff>0</xdr:rowOff>
              </from>
              <to>
                <xdr:col>7</xdr:col>
                <xdr:colOff>809625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7" r:id="rId19" name="Check Box 33">
          <controlPr defaultSize="0" autoFill="0" autoLine="0" autoPict="0">
            <anchor moveWithCells="1">
              <from>
                <xdr:col>8</xdr:col>
                <xdr:colOff>495300</xdr:colOff>
                <xdr:row>9</xdr:row>
                <xdr:rowOff>0</xdr:rowOff>
              </from>
              <to>
                <xdr:col>8</xdr:col>
                <xdr:colOff>790575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8" r:id="rId20" name="Check Box 34">
          <controlPr defaultSize="0" autoFill="0" autoLine="0" autoPict="0">
            <anchor moveWithCells="1">
              <from>
                <xdr:col>9</xdr:col>
                <xdr:colOff>533400</xdr:colOff>
                <xdr:row>9</xdr:row>
                <xdr:rowOff>0</xdr:rowOff>
              </from>
              <to>
                <xdr:col>9</xdr:col>
                <xdr:colOff>828675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80" r:id="rId21" name="Check Box 36">
          <controlPr defaultSize="0" autoFill="0" autoLine="0" autoPict="0">
            <anchor moveWithCells="1">
              <from>
                <xdr:col>7</xdr:col>
                <xdr:colOff>514350</xdr:colOff>
                <xdr:row>33</xdr:row>
                <xdr:rowOff>0</xdr:rowOff>
              </from>
              <to>
                <xdr:col>7</xdr:col>
                <xdr:colOff>809625</xdr:colOff>
                <xdr:row>34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81" r:id="rId22" name="Check Box 37">
          <controlPr defaultSize="0" autoFill="0" autoLine="0" autoPict="0">
            <anchor moveWithCells="1">
              <from>
                <xdr:col>8</xdr:col>
                <xdr:colOff>495300</xdr:colOff>
                <xdr:row>33</xdr:row>
                <xdr:rowOff>0</xdr:rowOff>
              </from>
              <to>
                <xdr:col>8</xdr:col>
                <xdr:colOff>790575</xdr:colOff>
                <xdr:row>34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82" r:id="rId23" name="Check Box 38">
          <controlPr defaultSize="0" autoFill="0" autoLine="0" autoPict="0">
            <anchor moveWithCells="1">
              <from>
                <xdr:col>9</xdr:col>
                <xdr:colOff>533400</xdr:colOff>
                <xdr:row>33</xdr:row>
                <xdr:rowOff>0</xdr:rowOff>
              </from>
              <to>
                <xdr:col>9</xdr:col>
                <xdr:colOff>828675</xdr:colOff>
                <xdr:row>34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84" r:id="rId24" name="Check Box 40">
          <controlPr defaultSize="0" autoFill="0" autoLine="0" autoPict="0">
            <anchor moveWithCells="1">
              <from>
                <xdr:col>7</xdr:col>
                <xdr:colOff>514350</xdr:colOff>
                <xdr:row>36</xdr:row>
                <xdr:rowOff>0</xdr:rowOff>
              </from>
              <to>
                <xdr:col>7</xdr:col>
                <xdr:colOff>809625</xdr:colOff>
                <xdr:row>37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85" r:id="rId25" name="Check Box 41">
          <controlPr defaultSize="0" autoFill="0" autoLine="0" autoPict="0">
            <anchor moveWithCells="1">
              <from>
                <xdr:col>8</xdr:col>
                <xdr:colOff>495300</xdr:colOff>
                <xdr:row>36</xdr:row>
                <xdr:rowOff>0</xdr:rowOff>
              </from>
              <to>
                <xdr:col>8</xdr:col>
                <xdr:colOff>790575</xdr:colOff>
                <xdr:row>37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86" r:id="rId26" name="Check Box 42">
          <controlPr defaultSize="0" autoFill="0" autoLine="0" autoPict="0">
            <anchor moveWithCells="1">
              <from>
                <xdr:col>9</xdr:col>
                <xdr:colOff>533400</xdr:colOff>
                <xdr:row>36</xdr:row>
                <xdr:rowOff>0</xdr:rowOff>
              </from>
              <to>
                <xdr:col>9</xdr:col>
                <xdr:colOff>828675</xdr:colOff>
                <xdr:row>37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88" r:id="rId27" name="Check Box 44">
          <controlPr defaultSize="0" autoFill="0" autoLine="0" autoPict="0">
            <anchor moveWithCells="1">
              <from>
                <xdr:col>7</xdr:col>
                <xdr:colOff>514350</xdr:colOff>
                <xdr:row>34</xdr:row>
                <xdr:rowOff>0</xdr:rowOff>
              </from>
              <to>
                <xdr:col>7</xdr:col>
                <xdr:colOff>809625</xdr:colOff>
                <xdr:row>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89" r:id="rId28" name="Check Box 45">
          <controlPr defaultSize="0" autoFill="0" autoLine="0" autoPict="0">
            <anchor moveWithCells="1">
              <from>
                <xdr:col>8</xdr:col>
                <xdr:colOff>495300</xdr:colOff>
                <xdr:row>34</xdr:row>
                <xdr:rowOff>0</xdr:rowOff>
              </from>
              <to>
                <xdr:col>8</xdr:col>
                <xdr:colOff>790575</xdr:colOff>
                <xdr:row>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90" r:id="rId29" name="Check Box 46">
          <controlPr defaultSize="0" autoFill="0" autoLine="0" autoPict="0">
            <anchor moveWithCells="1">
              <from>
                <xdr:col>9</xdr:col>
                <xdr:colOff>533400</xdr:colOff>
                <xdr:row>34</xdr:row>
                <xdr:rowOff>0</xdr:rowOff>
              </from>
              <to>
                <xdr:col>9</xdr:col>
                <xdr:colOff>828675</xdr:colOff>
                <xdr:row>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92" r:id="rId30" name="Check Box 48">
          <controlPr defaultSize="0" autoFill="0" autoLine="0" autoPict="0">
            <anchor moveWithCells="1">
              <from>
                <xdr:col>7</xdr:col>
                <xdr:colOff>514350</xdr:colOff>
                <xdr:row>35</xdr:row>
                <xdr:rowOff>0</xdr:rowOff>
              </from>
              <to>
                <xdr:col>7</xdr:col>
                <xdr:colOff>809625</xdr:colOff>
                <xdr:row>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93" r:id="rId31" name="Check Box 49">
          <controlPr defaultSize="0" autoFill="0" autoLine="0" autoPict="0">
            <anchor moveWithCells="1">
              <from>
                <xdr:col>8</xdr:col>
                <xdr:colOff>495300</xdr:colOff>
                <xdr:row>35</xdr:row>
                <xdr:rowOff>0</xdr:rowOff>
              </from>
              <to>
                <xdr:col>8</xdr:col>
                <xdr:colOff>790575</xdr:colOff>
                <xdr:row>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94" r:id="rId32" name="Check Box 50">
          <controlPr defaultSize="0" autoFill="0" autoLine="0" autoPict="0">
            <anchor moveWithCells="1">
              <from>
                <xdr:col>9</xdr:col>
                <xdr:colOff>533400</xdr:colOff>
                <xdr:row>35</xdr:row>
                <xdr:rowOff>0</xdr:rowOff>
              </from>
              <to>
                <xdr:col>9</xdr:col>
                <xdr:colOff>828675</xdr:colOff>
                <xdr:row>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96" r:id="rId33" name="Check Box 52">
          <controlPr defaultSize="0" autoFill="0" autoLine="0" autoPict="0">
            <anchor moveWithCells="1">
              <from>
                <xdr:col>7</xdr:col>
                <xdr:colOff>514350</xdr:colOff>
                <xdr:row>37</xdr:row>
                <xdr:rowOff>0</xdr:rowOff>
              </from>
              <to>
                <xdr:col>7</xdr:col>
                <xdr:colOff>809625</xdr:colOff>
                <xdr:row>38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97" r:id="rId34" name="Check Box 53">
          <controlPr defaultSize="0" autoFill="0" autoLine="0" autoPict="0">
            <anchor moveWithCells="1">
              <from>
                <xdr:col>8</xdr:col>
                <xdr:colOff>495300</xdr:colOff>
                <xdr:row>37</xdr:row>
                <xdr:rowOff>0</xdr:rowOff>
              </from>
              <to>
                <xdr:col>8</xdr:col>
                <xdr:colOff>790575</xdr:colOff>
                <xdr:row>38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98" r:id="rId35" name="Check Box 54">
          <controlPr defaultSize="0" autoFill="0" autoLine="0" autoPict="0">
            <anchor moveWithCells="1">
              <from>
                <xdr:col>9</xdr:col>
                <xdr:colOff>533400</xdr:colOff>
                <xdr:row>37</xdr:row>
                <xdr:rowOff>0</xdr:rowOff>
              </from>
              <to>
                <xdr:col>9</xdr:col>
                <xdr:colOff>828675</xdr:colOff>
                <xdr:row>38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00" r:id="rId36" name="Check Box 56">
          <controlPr defaultSize="0" autoFill="0" autoLine="0" autoPict="0">
            <anchor moveWithCells="1">
              <from>
                <xdr:col>7</xdr:col>
                <xdr:colOff>514350</xdr:colOff>
                <xdr:row>38</xdr:row>
                <xdr:rowOff>0</xdr:rowOff>
              </from>
              <to>
                <xdr:col>7</xdr:col>
                <xdr:colOff>809625</xdr:colOff>
                <xdr:row>39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01" r:id="rId37" name="Check Box 57">
          <controlPr defaultSize="0" autoFill="0" autoLine="0" autoPict="0">
            <anchor moveWithCells="1">
              <from>
                <xdr:col>8</xdr:col>
                <xdr:colOff>495300</xdr:colOff>
                <xdr:row>38</xdr:row>
                <xdr:rowOff>0</xdr:rowOff>
              </from>
              <to>
                <xdr:col>8</xdr:col>
                <xdr:colOff>790575</xdr:colOff>
                <xdr:row>39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02" r:id="rId38" name="Check Box 58">
          <controlPr defaultSize="0" autoFill="0" autoLine="0" autoPict="0">
            <anchor moveWithCells="1">
              <from>
                <xdr:col>9</xdr:col>
                <xdr:colOff>533400</xdr:colOff>
                <xdr:row>38</xdr:row>
                <xdr:rowOff>0</xdr:rowOff>
              </from>
              <to>
                <xdr:col>9</xdr:col>
                <xdr:colOff>828675</xdr:colOff>
                <xdr:row>39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04" r:id="rId39" name="Check Box 60">
          <controlPr defaultSize="0" autoFill="0" autoLine="0" autoPict="0">
            <anchor moveWithCells="1">
              <from>
                <xdr:col>7</xdr:col>
                <xdr:colOff>514350</xdr:colOff>
                <xdr:row>39</xdr:row>
                <xdr:rowOff>0</xdr:rowOff>
              </from>
              <to>
                <xdr:col>7</xdr:col>
                <xdr:colOff>809625</xdr:colOff>
                <xdr:row>40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05" r:id="rId40" name="Check Box 61">
          <controlPr defaultSize="0" autoFill="0" autoLine="0" autoPict="0">
            <anchor moveWithCells="1">
              <from>
                <xdr:col>8</xdr:col>
                <xdr:colOff>495300</xdr:colOff>
                <xdr:row>39</xdr:row>
                <xdr:rowOff>0</xdr:rowOff>
              </from>
              <to>
                <xdr:col>8</xdr:col>
                <xdr:colOff>790575</xdr:colOff>
                <xdr:row>40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06" r:id="rId41" name="Check Box 62">
          <controlPr defaultSize="0" autoFill="0" autoLine="0" autoPict="0">
            <anchor moveWithCells="1">
              <from>
                <xdr:col>9</xdr:col>
                <xdr:colOff>533400</xdr:colOff>
                <xdr:row>39</xdr:row>
                <xdr:rowOff>0</xdr:rowOff>
              </from>
              <to>
                <xdr:col>9</xdr:col>
                <xdr:colOff>828675</xdr:colOff>
                <xdr:row>40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08" r:id="rId42" name="Check Box 64">
          <controlPr defaultSize="0" autoFill="0" autoLine="0" autoPict="0">
            <anchor moveWithCells="1">
              <from>
                <xdr:col>7</xdr:col>
                <xdr:colOff>514350</xdr:colOff>
                <xdr:row>10</xdr:row>
                <xdr:rowOff>0</xdr:rowOff>
              </from>
              <to>
                <xdr:col>7</xdr:col>
                <xdr:colOff>809625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09" r:id="rId43" name="Check Box 65">
          <controlPr defaultSize="0" autoFill="0" autoLine="0" autoPict="0">
            <anchor moveWithCells="1">
              <from>
                <xdr:col>8</xdr:col>
                <xdr:colOff>495300</xdr:colOff>
                <xdr:row>10</xdr:row>
                <xdr:rowOff>0</xdr:rowOff>
              </from>
              <to>
                <xdr:col>8</xdr:col>
                <xdr:colOff>790575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10" r:id="rId44" name="Check Box 66">
          <controlPr defaultSize="0" autoFill="0" autoLine="0" autoPict="0">
            <anchor moveWithCells="1">
              <from>
                <xdr:col>9</xdr:col>
                <xdr:colOff>533400</xdr:colOff>
                <xdr:row>10</xdr:row>
                <xdr:rowOff>0</xdr:rowOff>
              </from>
              <to>
                <xdr:col>9</xdr:col>
                <xdr:colOff>828675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12" r:id="rId45" name="Check Box 68">
          <controlPr defaultSize="0" autoFill="0" autoLine="0" autoPict="0">
            <anchor moveWithCells="1">
              <from>
                <xdr:col>7</xdr:col>
                <xdr:colOff>514350</xdr:colOff>
                <xdr:row>40</xdr:row>
                <xdr:rowOff>0</xdr:rowOff>
              </from>
              <to>
                <xdr:col>7</xdr:col>
                <xdr:colOff>809625</xdr:colOff>
                <xdr:row>41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13" r:id="rId46" name="Check Box 69">
          <controlPr defaultSize="0" autoFill="0" autoLine="0" autoPict="0">
            <anchor moveWithCells="1">
              <from>
                <xdr:col>8</xdr:col>
                <xdr:colOff>495300</xdr:colOff>
                <xdr:row>40</xdr:row>
                <xdr:rowOff>0</xdr:rowOff>
              </from>
              <to>
                <xdr:col>8</xdr:col>
                <xdr:colOff>790575</xdr:colOff>
                <xdr:row>41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14" r:id="rId47" name="Check Box 70">
          <controlPr defaultSize="0" autoFill="0" autoLine="0" autoPict="0">
            <anchor moveWithCells="1">
              <from>
                <xdr:col>9</xdr:col>
                <xdr:colOff>533400</xdr:colOff>
                <xdr:row>40</xdr:row>
                <xdr:rowOff>0</xdr:rowOff>
              </from>
              <to>
                <xdr:col>9</xdr:col>
                <xdr:colOff>828675</xdr:colOff>
                <xdr:row>41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16" r:id="rId48" name="Check Box 72">
          <controlPr defaultSize="0" autoFill="0" autoLine="0" autoPict="0">
            <anchor moveWithCells="1">
              <from>
                <xdr:col>7</xdr:col>
                <xdr:colOff>514350</xdr:colOff>
                <xdr:row>41</xdr:row>
                <xdr:rowOff>0</xdr:rowOff>
              </from>
              <to>
                <xdr:col>7</xdr:col>
                <xdr:colOff>809625</xdr:colOff>
                <xdr:row>42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17" r:id="rId49" name="Check Box 73">
          <controlPr defaultSize="0" autoFill="0" autoLine="0" autoPict="0">
            <anchor moveWithCells="1">
              <from>
                <xdr:col>8</xdr:col>
                <xdr:colOff>495300</xdr:colOff>
                <xdr:row>41</xdr:row>
                <xdr:rowOff>0</xdr:rowOff>
              </from>
              <to>
                <xdr:col>8</xdr:col>
                <xdr:colOff>790575</xdr:colOff>
                <xdr:row>42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18" r:id="rId50" name="Check Box 74">
          <controlPr defaultSize="0" autoFill="0" autoLine="0" autoPict="0">
            <anchor moveWithCells="1">
              <from>
                <xdr:col>9</xdr:col>
                <xdr:colOff>533400</xdr:colOff>
                <xdr:row>41</xdr:row>
                <xdr:rowOff>0</xdr:rowOff>
              </from>
              <to>
                <xdr:col>9</xdr:col>
                <xdr:colOff>828675</xdr:colOff>
                <xdr:row>42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0" r:id="rId51" name="Check Box 76">
          <controlPr defaultSize="0" autoFill="0" autoLine="0" autoPict="0">
            <anchor moveWithCells="1">
              <from>
                <xdr:col>7</xdr:col>
                <xdr:colOff>514350</xdr:colOff>
                <xdr:row>42</xdr:row>
                <xdr:rowOff>0</xdr:rowOff>
              </from>
              <to>
                <xdr:col>7</xdr:col>
                <xdr:colOff>809625</xdr:colOff>
                <xdr:row>43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1" r:id="rId52" name="Check Box 77">
          <controlPr defaultSize="0" autoFill="0" autoLine="0" autoPict="0">
            <anchor moveWithCells="1">
              <from>
                <xdr:col>8</xdr:col>
                <xdr:colOff>495300</xdr:colOff>
                <xdr:row>42</xdr:row>
                <xdr:rowOff>0</xdr:rowOff>
              </from>
              <to>
                <xdr:col>8</xdr:col>
                <xdr:colOff>790575</xdr:colOff>
                <xdr:row>43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2" r:id="rId53" name="Check Box 78">
          <controlPr defaultSize="0" autoFill="0" autoLine="0" autoPict="0">
            <anchor moveWithCells="1">
              <from>
                <xdr:col>9</xdr:col>
                <xdr:colOff>533400</xdr:colOff>
                <xdr:row>42</xdr:row>
                <xdr:rowOff>0</xdr:rowOff>
              </from>
              <to>
                <xdr:col>9</xdr:col>
                <xdr:colOff>828675</xdr:colOff>
                <xdr:row>43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4" r:id="rId54" name="Check Box 80">
          <controlPr defaultSize="0" autoFill="0" autoLine="0" autoPict="0">
            <anchor moveWithCells="1">
              <from>
                <xdr:col>7</xdr:col>
                <xdr:colOff>514350</xdr:colOff>
                <xdr:row>11</xdr:row>
                <xdr:rowOff>0</xdr:rowOff>
              </from>
              <to>
                <xdr:col>7</xdr:col>
                <xdr:colOff>809625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55" name="Check Box 81">
          <controlPr defaultSize="0" autoFill="0" autoLine="0" autoPict="0">
            <anchor moveWithCells="1">
              <from>
                <xdr:col>8</xdr:col>
                <xdr:colOff>495300</xdr:colOff>
                <xdr:row>11</xdr:row>
                <xdr:rowOff>0</xdr:rowOff>
              </from>
              <to>
                <xdr:col>8</xdr:col>
                <xdr:colOff>790575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56" name="Check Box 82">
          <controlPr defaultSize="0" autoFill="0" autoLine="0" autoPict="0">
            <anchor moveWithCells="1">
              <from>
                <xdr:col>9</xdr:col>
                <xdr:colOff>533400</xdr:colOff>
                <xdr:row>11</xdr:row>
                <xdr:rowOff>0</xdr:rowOff>
              </from>
              <to>
                <xdr:col>9</xdr:col>
                <xdr:colOff>828675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8" r:id="rId57" name="Check Box 84">
          <controlPr defaultSize="0" autoFill="0" autoLine="0" autoPict="0">
            <anchor moveWithCells="1">
              <from>
                <xdr:col>7</xdr:col>
                <xdr:colOff>514350</xdr:colOff>
                <xdr:row>12</xdr:row>
                <xdr:rowOff>0</xdr:rowOff>
              </from>
              <to>
                <xdr:col>7</xdr:col>
                <xdr:colOff>809625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9" r:id="rId58" name="Check Box 85">
          <controlPr defaultSize="0" autoFill="0" autoLine="0" autoPict="0">
            <anchor moveWithCells="1">
              <from>
                <xdr:col>8</xdr:col>
                <xdr:colOff>495300</xdr:colOff>
                <xdr:row>12</xdr:row>
                <xdr:rowOff>0</xdr:rowOff>
              </from>
              <to>
                <xdr:col>8</xdr:col>
                <xdr:colOff>790575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0" r:id="rId59" name="Check Box 86">
          <controlPr defaultSize="0" autoFill="0" autoLine="0" autoPict="0">
            <anchor moveWithCells="1">
              <from>
                <xdr:col>9</xdr:col>
                <xdr:colOff>533400</xdr:colOff>
                <xdr:row>12</xdr:row>
                <xdr:rowOff>0</xdr:rowOff>
              </from>
              <to>
                <xdr:col>9</xdr:col>
                <xdr:colOff>828675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60" name="Check Box 88">
          <controlPr defaultSize="0" autoFill="0" autoLine="0" autoPict="0">
            <anchor moveWithCells="1">
              <from>
                <xdr:col>7</xdr:col>
                <xdr:colOff>514350</xdr:colOff>
                <xdr:row>63</xdr:row>
                <xdr:rowOff>0</xdr:rowOff>
              </from>
              <to>
                <xdr:col>7</xdr:col>
                <xdr:colOff>809625</xdr:colOff>
                <xdr:row>64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61" name="Check Box 89">
          <controlPr defaultSize="0" autoFill="0" autoLine="0" autoPict="0">
            <anchor moveWithCells="1">
              <from>
                <xdr:col>8</xdr:col>
                <xdr:colOff>495300</xdr:colOff>
                <xdr:row>63</xdr:row>
                <xdr:rowOff>0</xdr:rowOff>
              </from>
              <to>
                <xdr:col>8</xdr:col>
                <xdr:colOff>790575</xdr:colOff>
                <xdr:row>64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4" r:id="rId62" name="Check Box 90">
          <controlPr defaultSize="0" autoFill="0" autoLine="0" autoPict="0">
            <anchor moveWithCells="1">
              <from>
                <xdr:col>9</xdr:col>
                <xdr:colOff>533400</xdr:colOff>
                <xdr:row>63</xdr:row>
                <xdr:rowOff>0</xdr:rowOff>
              </from>
              <to>
                <xdr:col>9</xdr:col>
                <xdr:colOff>828675</xdr:colOff>
                <xdr:row>64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63" name="Check Box 92">
          <controlPr defaultSize="0" autoFill="0" autoLine="0" autoPict="0">
            <anchor moveWithCells="1">
              <from>
                <xdr:col>7</xdr:col>
                <xdr:colOff>514350</xdr:colOff>
                <xdr:row>64</xdr:row>
                <xdr:rowOff>0</xdr:rowOff>
              </from>
              <to>
                <xdr:col>7</xdr:col>
                <xdr:colOff>809625</xdr:colOff>
                <xdr:row>65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64" name="Check Box 93">
          <controlPr defaultSize="0" autoFill="0" autoLine="0" autoPict="0">
            <anchor moveWithCells="1">
              <from>
                <xdr:col>8</xdr:col>
                <xdr:colOff>495300</xdr:colOff>
                <xdr:row>64</xdr:row>
                <xdr:rowOff>0</xdr:rowOff>
              </from>
              <to>
                <xdr:col>8</xdr:col>
                <xdr:colOff>790575</xdr:colOff>
                <xdr:row>65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65" name="Check Box 94">
          <controlPr defaultSize="0" autoFill="0" autoLine="0" autoPict="0">
            <anchor moveWithCells="1">
              <from>
                <xdr:col>9</xdr:col>
                <xdr:colOff>533400</xdr:colOff>
                <xdr:row>64</xdr:row>
                <xdr:rowOff>0</xdr:rowOff>
              </from>
              <to>
                <xdr:col>9</xdr:col>
                <xdr:colOff>828675</xdr:colOff>
                <xdr:row>65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66" name="Check Box 96">
          <controlPr defaultSize="0" autoFill="0" autoLine="0" autoPict="0">
            <anchor moveWithCells="1">
              <from>
                <xdr:col>7</xdr:col>
                <xdr:colOff>514350</xdr:colOff>
                <xdr:row>43</xdr:row>
                <xdr:rowOff>0</xdr:rowOff>
              </from>
              <to>
                <xdr:col>7</xdr:col>
                <xdr:colOff>809625</xdr:colOff>
                <xdr:row>44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67" name="Check Box 97">
          <controlPr defaultSize="0" autoFill="0" autoLine="0" autoPict="0">
            <anchor moveWithCells="1">
              <from>
                <xdr:col>8</xdr:col>
                <xdr:colOff>495300</xdr:colOff>
                <xdr:row>43</xdr:row>
                <xdr:rowOff>0</xdr:rowOff>
              </from>
              <to>
                <xdr:col>8</xdr:col>
                <xdr:colOff>790575</xdr:colOff>
                <xdr:row>44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68" name="Check Box 98">
          <controlPr defaultSize="0" autoFill="0" autoLine="0" autoPict="0">
            <anchor moveWithCells="1">
              <from>
                <xdr:col>9</xdr:col>
                <xdr:colOff>533400</xdr:colOff>
                <xdr:row>43</xdr:row>
                <xdr:rowOff>0</xdr:rowOff>
              </from>
              <to>
                <xdr:col>9</xdr:col>
                <xdr:colOff>828675</xdr:colOff>
                <xdr:row>44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69" name="Check Box 100">
          <controlPr defaultSize="0" autoFill="0" autoLine="0" autoPict="0">
            <anchor moveWithCells="1">
              <from>
                <xdr:col>7</xdr:col>
                <xdr:colOff>514350</xdr:colOff>
                <xdr:row>44</xdr:row>
                <xdr:rowOff>0</xdr:rowOff>
              </from>
              <to>
                <xdr:col>7</xdr:col>
                <xdr:colOff>809625</xdr:colOff>
                <xdr:row>45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70" name="Check Box 101">
          <controlPr defaultSize="0" autoFill="0" autoLine="0" autoPict="0">
            <anchor moveWithCells="1">
              <from>
                <xdr:col>8</xdr:col>
                <xdr:colOff>495300</xdr:colOff>
                <xdr:row>44</xdr:row>
                <xdr:rowOff>0</xdr:rowOff>
              </from>
              <to>
                <xdr:col>8</xdr:col>
                <xdr:colOff>790575</xdr:colOff>
                <xdr:row>45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71" name="Check Box 102">
          <controlPr defaultSize="0" autoFill="0" autoLine="0" autoPict="0">
            <anchor moveWithCells="1">
              <from>
                <xdr:col>9</xdr:col>
                <xdr:colOff>533400</xdr:colOff>
                <xdr:row>44</xdr:row>
                <xdr:rowOff>0</xdr:rowOff>
              </from>
              <to>
                <xdr:col>9</xdr:col>
                <xdr:colOff>828675</xdr:colOff>
                <xdr:row>45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72" name="Check Box 104">
          <controlPr defaultSize="0" autoFill="0" autoLine="0" autoPict="0">
            <anchor moveWithCells="1">
              <from>
                <xdr:col>7</xdr:col>
                <xdr:colOff>514350</xdr:colOff>
                <xdr:row>46</xdr:row>
                <xdr:rowOff>0</xdr:rowOff>
              </from>
              <to>
                <xdr:col>7</xdr:col>
                <xdr:colOff>809625</xdr:colOff>
                <xdr:row>47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73" name="Check Box 105">
          <controlPr defaultSize="0" autoFill="0" autoLine="0" autoPict="0">
            <anchor moveWithCells="1">
              <from>
                <xdr:col>8</xdr:col>
                <xdr:colOff>495300</xdr:colOff>
                <xdr:row>46</xdr:row>
                <xdr:rowOff>0</xdr:rowOff>
              </from>
              <to>
                <xdr:col>8</xdr:col>
                <xdr:colOff>790575</xdr:colOff>
                <xdr:row>47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74" name="Check Box 106">
          <controlPr defaultSize="0" autoFill="0" autoLine="0" autoPict="0">
            <anchor moveWithCells="1">
              <from>
                <xdr:col>9</xdr:col>
                <xdr:colOff>533400</xdr:colOff>
                <xdr:row>46</xdr:row>
                <xdr:rowOff>0</xdr:rowOff>
              </from>
              <to>
                <xdr:col>9</xdr:col>
                <xdr:colOff>828675</xdr:colOff>
                <xdr:row>47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75" name="Check Box 108">
          <controlPr defaultSize="0" autoFill="0" autoLine="0" autoPict="0">
            <anchor moveWithCells="1">
              <from>
                <xdr:col>7</xdr:col>
                <xdr:colOff>514350</xdr:colOff>
                <xdr:row>47</xdr:row>
                <xdr:rowOff>0</xdr:rowOff>
              </from>
              <to>
                <xdr:col>7</xdr:col>
                <xdr:colOff>809625</xdr:colOff>
                <xdr:row>48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76" name="Check Box 109">
          <controlPr defaultSize="0" autoFill="0" autoLine="0" autoPict="0">
            <anchor moveWithCells="1">
              <from>
                <xdr:col>8</xdr:col>
                <xdr:colOff>495300</xdr:colOff>
                <xdr:row>47</xdr:row>
                <xdr:rowOff>0</xdr:rowOff>
              </from>
              <to>
                <xdr:col>8</xdr:col>
                <xdr:colOff>790575</xdr:colOff>
                <xdr:row>48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77" name="Check Box 110">
          <controlPr defaultSize="0" autoFill="0" autoLine="0" autoPict="0">
            <anchor moveWithCells="1">
              <from>
                <xdr:col>9</xdr:col>
                <xdr:colOff>533400</xdr:colOff>
                <xdr:row>47</xdr:row>
                <xdr:rowOff>0</xdr:rowOff>
              </from>
              <to>
                <xdr:col>9</xdr:col>
                <xdr:colOff>828675</xdr:colOff>
                <xdr:row>48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78" name="Check Box 112">
          <controlPr defaultSize="0" autoFill="0" autoLine="0" autoPict="0">
            <anchor moveWithCells="1">
              <from>
                <xdr:col>7</xdr:col>
                <xdr:colOff>514350</xdr:colOff>
                <xdr:row>65</xdr:row>
                <xdr:rowOff>0</xdr:rowOff>
              </from>
              <to>
                <xdr:col>7</xdr:col>
                <xdr:colOff>809625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79" name="Check Box 113">
          <controlPr defaultSize="0" autoFill="0" autoLine="0" autoPict="0">
            <anchor moveWithCells="1">
              <from>
                <xdr:col>8</xdr:col>
                <xdr:colOff>495300</xdr:colOff>
                <xdr:row>65</xdr:row>
                <xdr:rowOff>0</xdr:rowOff>
              </from>
              <to>
                <xdr:col>8</xdr:col>
                <xdr:colOff>790575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80" name="Check Box 114">
          <controlPr defaultSize="0" autoFill="0" autoLine="0" autoPict="0">
            <anchor moveWithCells="1">
              <from>
                <xdr:col>9</xdr:col>
                <xdr:colOff>533400</xdr:colOff>
                <xdr:row>65</xdr:row>
                <xdr:rowOff>0</xdr:rowOff>
              </from>
              <to>
                <xdr:col>9</xdr:col>
                <xdr:colOff>828675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81" name="Check Box 116">
          <controlPr defaultSize="0" autoFill="0" autoLine="0" autoPict="0">
            <anchor moveWithCells="1">
              <from>
                <xdr:col>7</xdr:col>
                <xdr:colOff>514350</xdr:colOff>
                <xdr:row>48</xdr:row>
                <xdr:rowOff>0</xdr:rowOff>
              </from>
              <to>
                <xdr:col>7</xdr:col>
                <xdr:colOff>809625</xdr:colOff>
                <xdr:row>49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82" name="Check Box 117">
          <controlPr defaultSize="0" autoFill="0" autoLine="0" autoPict="0">
            <anchor moveWithCells="1">
              <from>
                <xdr:col>8</xdr:col>
                <xdr:colOff>495300</xdr:colOff>
                <xdr:row>48</xdr:row>
                <xdr:rowOff>0</xdr:rowOff>
              </from>
              <to>
                <xdr:col>8</xdr:col>
                <xdr:colOff>790575</xdr:colOff>
                <xdr:row>49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83" name="Check Box 118">
          <controlPr defaultSize="0" autoFill="0" autoLine="0" autoPict="0">
            <anchor moveWithCells="1">
              <from>
                <xdr:col>9</xdr:col>
                <xdr:colOff>533400</xdr:colOff>
                <xdr:row>48</xdr:row>
                <xdr:rowOff>0</xdr:rowOff>
              </from>
              <to>
                <xdr:col>9</xdr:col>
                <xdr:colOff>828675</xdr:colOff>
                <xdr:row>49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4" r:id="rId84" name="Check Box 120">
          <controlPr defaultSize="0" autoFill="0" autoLine="0" autoPict="0">
            <anchor moveWithCells="1">
              <from>
                <xdr:col>7</xdr:col>
                <xdr:colOff>514350</xdr:colOff>
                <xdr:row>66</xdr:row>
                <xdr:rowOff>0</xdr:rowOff>
              </from>
              <to>
                <xdr:col>7</xdr:col>
                <xdr:colOff>809625</xdr:colOff>
                <xdr:row>67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5" r:id="rId85" name="Check Box 121">
          <controlPr defaultSize="0" autoFill="0" autoLine="0" autoPict="0">
            <anchor moveWithCells="1">
              <from>
                <xdr:col>8</xdr:col>
                <xdr:colOff>495300</xdr:colOff>
                <xdr:row>66</xdr:row>
                <xdr:rowOff>0</xdr:rowOff>
              </from>
              <to>
                <xdr:col>8</xdr:col>
                <xdr:colOff>790575</xdr:colOff>
                <xdr:row>67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6" r:id="rId86" name="Check Box 122">
          <controlPr defaultSize="0" autoFill="0" autoLine="0" autoPict="0">
            <anchor moveWithCells="1">
              <from>
                <xdr:col>9</xdr:col>
                <xdr:colOff>533400</xdr:colOff>
                <xdr:row>66</xdr:row>
                <xdr:rowOff>0</xdr:rowOff>
              </from>
              <to>
                <xdr:col>9</xdr:col>
                <xdr:colOff>828675</xdr:colOff>
                <xdr:row>67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8" r:id="rId87" name="Check Box 124">
          <controlPr defaultSize="0" autoFill="0" autoLine="0" autoPict="0">
            <anchor moveWithCells="1">
              <from>
                <xdr:col>7</xdr:col>
                <xdr:colOff>514350</xdr:colOff>
                <xdr:row>13</xdr:row>
                <xdr:rowOff>0</xdr:rowOff>
              </from>
              <to>
                <xdr:col>7</xdr:col>
                <xdr:colOff>809625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9" r:id="rId88" name="Check Box 125">
          <controlPr defaultSize="0" autoFill="0" autoLine="0" autoPict="0">
            <anchor moveWithCells="1">
              <from>
                <xdr:col>8</xdr:col>
                <xdr:colOff>495300</xdr:colOff>
                <xdr:row>13</xdr:row>
                <xdr:rowOff>0</xdr:rowOff>
              </from>
              <to>
                <xdr:col>8</xdr:col>
                <xdr:colOff>790575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0" r:id="rId89" name="Check Box 126">
          <controlPr defaultSize="0" autoFill="0" autoLine="0" autoPict="0">
            <anchor moveWithCells="1">
              <from>
                <xdr:col>9</xdr:col>
                <xdr:colOff>533400</xdr:colOff>
                <xdr:row>13</xdr:row>
                <xdr:rowOff>0</xdr:rowOff>
              </from>
              <to>
                <xdr:col>9</xdr:col>
                <xdr:colOff>828675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2" r:id="rId90" name="Check Box 128">
          <controlPr defaultSize="0" autoFill="0" autoLine="0" autoPict="0">
            <anchor moveWithCells="1">
              <from>
                <xdr:col>7</xdr:col>
                <xdr:colOff>514350</xdr:colOff>
                <xdr:row>14</xdr:row>
                <xdr:rowOff>0</xdr:rowOff>
              </from>
              <to>
                <xdr:col>7</xdr:col>
                <xdr:colOff>809625</xdr:colOff>
                <xdr:row>15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3" r:id="rId91" name="Check Box 129">
          <controlPr defaultSize="0" autoFill="0" autoLine="0" autoPict="0">
            <anchor moveWithCells="1">
              <from>
                <xdr:col>8</xdr:col>
                <xdr:colOff>495300</xdr:colOff>
                <xdr:row>14</xdr:row>
                <xdr:rowOff>0</xdr:rowOff>
              </from>
              <to>
                <xdr:col>8</xdr:col>
                <xdr:colOff>790575</xdr:colOff>
                <xdr:row>15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4" r:id="rId92" name="Check Box 130">
          <controlPr defaultSize="0" autoFill="0" autoLine="0" autoPict="0">
            <anchor moveWithCells="1">
              <from>
                <xdr:col>9</xdr:col>
                <xdr:colOff>533400</xdr:colOff>
                <xdr:row>14</xdr:row>
                <xdr:rowOff>0</xdr:rowOff>
              </from>
              <to>
                <xdr:col>9</xdr:col>
                <xdr:colOff>828675</xdr:colOff>
                <xdr:row>15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6" r:id="rId93" name="Check Box 132">
          <controlPr defaultSize="0" autoFill="0" autoLine="0" autoPict="0">
            <anchor moveWithCells="1">
              <from>
                <xdr:col>7</xdr:col>
                <xdr:colOff>514350</xdr:colOff>
                <xdr:row>15</xdr:row>
                <xdr:rowOff>0</xdr:rowOff>
              </from>
              <to>
                <xdr:col>7</xdr:col>
                <xdr:colOff>809625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7" r:id="rId94" name="Check Box 133">
          <controlPr defaultSize="0" autoFill="0" autoLine="0" autoPict="0">
            <anchor moveWithCells="1">
              <from>
                <xdr:col>8</xdr:col>
                <xdr:colOff>495300</xdr:colOff>
                <xdr:row>15</xdr:row>
                <xdr:rowOff>0</xdr:rowOff>
              </from>
              <to>
                <xdr:col>8</xdr:col>
                <xdr:colOff>790575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8" r:id="rId95" name="Check Box 134">
          <controlPr defaultSize="0" autoFill="0" autoLine="0" autoPict="0">
            <anchor moveWithCells="1">
              <from>
                <xdr:col>9</xdr:col>
                <xdr:colOff>533400</xdr:colOff>
                <xdr:row>15</xdr:row>
                <xdr:rowOff>0</xdr:rowOff>
              </from>
              <to>
                <xdr:col>9</xdr:col>
                <xdr:colOff>828675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80" r:id="rId96" name="Check Box 136">
          <controlPr defaultSize="0" autoFill="0" autoLine="0" autoPict="0">
            <anchor moveWithCells="1">
              <from>
                <xdr:col>7</xdr:col>
                <xdr:colOff>514350</xdr:colOff>
                <xdr:row>67</xdr:row>
                <xdr:rowOff>0</xdr:rowOff>
              </from>
              <to>
                <xdr:col>7</xdr:col>
                <xdr:colOff>809625</xdr:colOff>
                <xdr:row>68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81" r:id="rId97" name="Check Box 137">
          <controlPr defaultSize="0" autoFill="0" autoLine="0" autoPict="0">
            <anchor moveWithCells="1">
              <from>
                <xdr:col>8</xdr:col>
                <xdr:colOff>495300</xdr:colOff>
                <xdr:row>67</xdr:row>
                <xdr:rowOff>0</xdr:rowOff>
              </from>
              <to>
                <xdr:col>8</xdr:col>
                <xdr:colOff>790575</xdr:colOff>
                <xdr:row>68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82" r:id="rId98" name="Check Box 138">
          <controlPr defaultSize="0" autoFill="0" autoLine="0" autoPict="0">
            <anchor moveWithCells="1">
              <from>
                <xdr:col>9</xdr:col>
                <xdr:colOff>533400</xdr:colOff>
                <xdr:row>67</xdr:row>
                <xdr:rowOff>0</xdr:rowOff>
              </from>
              <to>
                <xdr:col>9</xdr:col>
                <xdr:colOff>828675</xdr:colOff>
                <xdr:row>68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84" r:id="rId99" name="Check Box 140">
          <controlPr defaultSize="0" autoFill="0" autoLine="0" autoPict="0">
            <anchor moveWithCells="1">
              <from>
                <xdr:col>7</xdr:col>
                <xdr:colOff>514350</xdr:colOff>
                <xdr:row>49</xdr:row>
                <xdr:rowOff>0</xdr:rowOff>
              </from>
              <to>
                <xdr:col>7</xdr:col>
                <xdr:colOff>809625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85" r:id="rId100" name="Check Box 141">
          <controlPr defaultSize="0" autoFill="0" autoLine="0" autoPict="0">
            <anchor moveWithCells="1">
              <from>
                <xdr:col>8</xdr:col>
                <xdr:colOff>495300</xdr:colOff>
                <xdr:row>49</xdr:row>
                <xdr:rowOff>0</xdr:rowOff>
              </from>
              <to>
                <xdr:col>8</xdr:col>
                <xdr:colOff>790575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86" r:id="rId101" name="Check Box 142">
          <controlPr defaultSize="0" autoFill="0" autoLine="0" autoPict="0">
            <anchor moveWithCells="1">
              <from>
                <xdr:col>9</xdr:col>
                <xdr:colOff>533400</xdr:colOff>
                <xdr:row>49</xdr:row>
                <xdr:rowOff>0</xdr:rowOff>
              </from>
              <to>
                <xdr:col>9</xdr:col>
                <xdr:colOff>828675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88" r:id="rId102" name="Check Box 144">
          <controlPr defaultSize="0" autoFill="0" autoLine="0" autoPict="0">
            <anchor moveWithCells="1">
              <from>
                <xdr:col>7</xdr:col>
                <xdr:colOff>514350</xdr:colOff>
                <xdr:row>68</xdr:row>
                <xdr:rowOff>0</xdr:rowOff>
              </from>
              <to>
                <xdr:col>7</xdr:col>
                <xdr:colOff>809625</xdr:colOff>
                <xdr:row>69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89" r:id="rId103" name="Check Box 145">
          <controlPr defaultSize="0" autoFill="0" autoLine="0" autoPict="0">
            <anchor moveWithCells="1">
              <from>
                <xdr:col>8</xdr:col>
                <xdr:colOff>495300</xdr:colOff>
                <xdr:row>68</xdr:row>
                <xdr:rowOff>0</xdr:rowOff>
              </from>
              <to>
                <xdr:col>8</xdr:col>
                <xdr:colOff>790575</xdr:colOff>
                <xdr:row>69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90" r:id="rId104" name="Check Box 146">
          <controlPr defaultSize="0" autoFill="0" autoLine="0" autoPict="0">
            <anchor moveWithCells="1">
              <from>
                <xdr:col>9</xdr:col>
                <xdr:colOff>533400</xdr:colOff>
                <xdr:row>68</xdr:row>
                <xdr:rowOff>0</xdr:rowOff>
              </from>
              <to>
                <xdr:col>9</xdr:col>
                <xdr:colOff>828675</xdr:colOff>
                <xdr:row>69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92" r:id="rId105" name="Check Box 148">
          <controlPr defaultSize="0" autoFill="0" autoLine="0" autoPict="0">
            <anchor moveWithCells="1">
              <from>
                <xdr:col>7</xdr:col>
                <xdr:colOff>514350</xdr:colOff>
                <xdr:row>69</xdr:row>
                <xdr:rowOff>0</xdr:rowOff>
              </from>
              <to>
                <xdr:col>7</xdr:col>
                <xdr:colOff>809625</xdr:colOff>
                <xdr:row>70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93" r:id="rId106" name="Check Box 149">
          <controlPr defaultSize="0" autoFill="0" autoLine="0" autoPict="0">
            <anchor moveWithCells="1">
              <from>
                <xdr:col>8</xdr:col>
                <xdr:colOff>495300</xdr:colOff>
                <xdr:row>69</xdr:row>
                <xdr:rowOff>0</xdr:rowOff>
              </from>
              <to>
                <xdr:col>8</xdr:col>
                <xdr:colOff>790575</xdr:colOff>
                <xdr:row>70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94" r:id="rId107" name="Check Box 150">
          <controlPr defaultSize="0" autoFill="0" autoLine="0" autoPict="0">
            <anchor moveWithCells="1">
              <from>
                <xdr:col>9</xdr:col>
                <xdr:colOff>533400</xdr:colOff>
                <xdr:row>69</xdr:row>
                <xdr:rowOff>0</xdr:rowOff>
              </from>
              <to>
                <xdr:col>9</xdr:col>
                <xdr:colOff>828675</xdr:colOff>
                <xdr:row>70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96" r:id="rId108" name="Check Box 152">
          <controlPr defaultSize="0" autoFill="0" autoLine="0" autoPict="0">
            <anchor moveWithCells="1">
              <from>
                <xdr:col>7</xdr:col>
                <xdr:colOff>514350</xdr:colOff>
                <xdr:row>70</xdr:row>
                <xdr:rowOff>0</xdr:rowOff>
              </from>
              <to>
                <xdr:col>7</xdr:col>
                <xdr:colOff>809625</xdr:colOff>
                <xdr:row>71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97" r:id="rId109" name="Check Box 153">
          <controlPr defaultSize="0" autoFill="0" autoLine="0" autoPict="0">
            <anchor moveWithCells="1">
              <from>
                <xdr:col>8</xdr:col>
                <xdr:colOff>495300</xdr:colOff>
                <xdr:row>70</xdr:row>
                <xdr:rowOff>0</xdr:rowOff>
              </from>
              <to>
                <xdr:col>8</xdr:col>
                <xdr:colOff>790575</xdr:colOff>
                <xdr:row>71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98" r:id="rId110" name="Check Box 154">
          <controlPr defaultSize="0" autoFill="0" autoLine="0" autoPict="0">
            <anchor moveWithCells="1">
              <from>
                <xdr:col>9</xdr:col>
                <xdr:colOff>533400</xdr:colOff>
                <xdr:row>70</xdr:row>
                <xdr:rowOff>0</xdr:rowOff>
              </from>
              <to>
                <xdr:col>9</xdr:col>
                <xdr:colOff>828675</xdr:colOff>
                <xdr:row>71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0" r:id="rId111" name="Check Box 156">
          <controlPr defaultSize="0" autoFill="0" autoLine="0" autoPict="0">
            <anchor moveWithCells="1">
              <from>
                <xdr:col>7</xdr:col>
                <xdr:colOff>514350</xdr:colOff>
                <xdr:row>71</xdr:row>
                <xdr:rowOff>0</xdr:rowOff>
              </from>
              <to>
                <xdr:col>7</xdr:col>
                <xdr:colOff>809625</xdr:colOff>
                <xdr:row>72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1" r:id="rId112" name="Check Box 157">
          <controlPr defaultSize="0" autoFill="0" autoLine="0" autoPict="0">
            <anchor moveWithCells="1">
              <from>
                <xdr:col>8</xdr:col>
                <xdr:colOff>495300</xdr:colOff>
                <xdr:row>71</xdr:row>
                <xdr:rowOff>0</xdr:rowOff>
              </from>
              <to>
                <xdr:col>8</xdr:col>
                <xdr:colOff>790575</xdr:colOff>
                <xdr:row>72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2" r:id="rId113" name="Check Box 158">
          <controlPr defaultSize="0" autoFill="0" autoLine="0" autoPict="0">
            <anchor moveWithCells="1">
              <from>
                <xdr:col>9</xdr:col>
                <xdr:colOff>533400</xdr:colOff>
                <xdr:row>71</xdr:row>
                <xdr:rowOff>0</xdr:rowOff>
              </from>
              <to>
                <xdr:col>9</xdr:col>
                <xdr:colOff>828675</xdr:colOff>
                <xdr:row>72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4" r:id="rId114" name="Check Box 160">
          <controlPr defaultSize="0" autoFill="0" autoLine="0" autoPict="0">
            <anchor moveWithCells="1">
              <from>
                <xdr:col>7</xdr:col>
                <xdr:colOff>514350</xdr:colOff>
                <xdr:row>72</xdr:row>
                <xdr:rowOff>0</xdr:rowOff>
              </from>
              <to>
                <xdr:col>7</xdr:col>
                <xdr:colOff>809625</xdr:colOff>
                <xdr:row>73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5" r:id="rId115" name="Check Box 161">
          <controlPr defaultSize="0" autoFill="0" autoLine="0" autoPict="0">
            <anchor moveWithCells="1">
              <from>
                <xdr:col>8</xdr:col>
                <xdr:colOff>495300</xdr:colOff>
                <xdr:row>72</xdr:row>
                <xdr:rowOff>0</xdr:rowOff>
              </from>
              <to>
                <xdr:col>8</xdr:col>
                <xdr:colOff>790575</xdr:colOff>
                <xdr:row>73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6" r:id="rId116" name="Check Box 162">
          <controlPr defaultSize="0" autoFill="0" autoLine="0" autoPict="0">
            <anchor moveWithCells="1">
              <from>
                <xdr:col>9</xdr:col>
                <xdr:colOff>533400</xdr:colOff>
                <xdr:row>72</xdr:row>
                <xdr:rowOff>0</xdr:rowOff>
              </from>
              <to>
                <xdr:col>9</xdr:col>
                <xdr:colOff>828675</xdr:colOff>
                <xdr:row>73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117" name="Check Box 164">
          <controlPr defaultSize="0" autoFill="0" autoLine="0" autoPict="0">
            <anchor moveWithCells="1">
              <from>
                <xdr:col>7</xdr:col>
                <xdr:colOff>514350</xdr:colOff>
                <xdr:row>16</xdr:row>
                <xdr:rowOff>0</xdr:rowOff>
              </from>
              <to>
                <xdr:col>7</xdr:col>
                <xdr:colOff>809625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9" r:id="rId118" name="Check Box 165">
          <controlPr defaultSize="0" autoFill="0" autoLine="0" autoPict="0">
            <anchor moveWithCells="1">
              <from>
                <xdr:col>8</xdr:col>
                <xdr:colOff>495300</xdr:colOff>
                <xdr:row>16</xdr:row>
                <xdr:rowOff>0</xdr:rowOff>
              </from>
              <to>
                <xdr:col>8</xdr:col>
                <xdr:colOff>790575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10" r:id="rId119" name="Check Box 166">
          <controlPr defaultSize="0" autoFill="0" autoLine="0" autoPict="0">
            <anchor moveWithCells="1">
              <from>
                <xdr:col>9</xdr:col>
                <xdr:colOff>533400</xdr:colOff>
                <xdr:row>16</xdr:row>
                <xdr:rowOff>0</xdr:rowOff>
              </from>
              <to>
                <xdr:col>9</xdr:col>
                <xdr:colOff>828675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12" r:id="rId120" name="Check Box 168">
          <controlPr defaultSize="0" autoFill="0" autoLine="0" autoPict="0">
            <anchor moveWithCells="1">
              <from>
                <xdr:col>7</xdr:col>
                <xdr:colOff>514350</xdr:colOff>
                <xdr:row>17</xdr:row>
                <xdr:rowOff>0</xdr:rowOff>
              </from>
              <to>
                <xdr:col>7</xdr:col>
                <xdr:colOff>809625</xdr:colOff>
                <xdr:row>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13" r:id="rId121" name="Check Box 169">
          <controlPr defaultSize="0" autoFill="0" autoLine="0" autoPict="0">
            <anchor moveWithCells="1">
              <from>
                <xdr:col>8</xdr:col>
                <xdr:colOff>495300</xdr:colOff>
                <xdr:row>17</xdr:row>
                <xdr:rowOff>0</xdr:rowOff>
              </from>
              <to>
                <xdr:col>8</xdr:col>
                <xdr:colOff>790575</xdr:colOff>
                <xdr:row>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14" r:id="rId122" name="Check Box 170">
          <controlPr defaultSize="0" autoFill="0" autoLine="0" autoPict="0">
            <anchor moveWithCells="1">
              <from>
                <xdr:col>9</xdr:col>
                <xdr:colOff>533400</xdr:colOff>
                <xdr:row>17</xdr:row>
                <xdr:rowOff>0</xdr:rowOff>
              </from>
              <to>
                <xdr:col>9</xdr:col>
                <xdr:colOff>828675</xdr:colOff>
                <xdr:row>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16" r:id="rId123" name="Check Box 172">
          <controlPr defaultSize="0" autoFill="0" autoLine="0" autoPict="0">
            <anchor moveWithCells="1">
              <from>
                <xdr:col>7</xdr:col>
                <xdr:colOff>514350</xdr:colOff>
                <xdr:row>18</xdr:row>
                <xdr:rowOff>0</xdr:rowOff>
              </from>
              <to>
                <xdr:col>7</xdr:col>
                <xdr:colOff>809625</xdr:colOff>
                <xdr:row>19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17" r:id="rId124" name="Check Box 173">
          <controlPr defaultSize="0" autoFill="0" autoLine="0" autoPict="0">
            <anchor moveWithCells="1">
              <from>
                <xdr:col>8</xdr:col>
                <xdr:colOff>495300</xdr:colOff>
                <xdr:row>18</xdr:row>
                <xdr:rowOff>0</xdr:rowOff>
              </from>
              <to>
                <xdr:col>8</xdr:col>
                <xdr:colOff>790575</xdr:colOff>
                <xdr:row>19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18" r:id="rId125" name="Check Box 174">
          <controlPr defaultSize="0" autoFill="0" autoLine="0" autoPict="0">
            <anchor moveWithCells="1">
              <from>
                <xdr:col>9</xdr:col>
                <xdr:colOff>533400</xdr:colOff>
                <xdr:row>18</xdr:row>
                <xdr:rowOff>0</xdr:rowOff>
              </from>
              <to>
                <xdr:col>9</xdr:col>
                <xdr:colOff>828675</xdr:colOff>
                <xdr:row>19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20" r:id="rId126" name="Check Box 176">
          <controlPr defaultSize="0" autoFill="0" autoLine="0" autoPict="0">
            <anchor moveWithCells="1">
              <from>
                <xdr:col>7</xdr:col>
                <xdr:colOff>514350</xdr:colOff>
                <xdr:row>19</xdr:row>
                <xdr:rowOff>0</xdr:rowOff>
              </from>
              <to>
                <xdr:col>7</xdr:col>
                <xdr:colOff>809625</xdr:colOff>
                <xdr:row>20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21" r:id="rId127" name="Check Box 177">
          <controlPr defaultSize="0" autoFill="0" autoLine="0" autoPict="0">
            <anchor moveWithCells="1">
              <from>
                <xdr:col>8</xdr:col>
                <xdr:colOff>495300</xdr:colOff>
                <xdr:row>19</xdr:row>
                <xdr:rowOff>0</xdr:rowOff>
              </from>
              <to>
                <xdr:col>8</xdr:col>
                <xdr:colOff>790575</xdr:colOff>
                <xdr:row>20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22" r:id="rId128" name="Check Box 178">
          <controlPr defaultSize="0" autoFill="0" autoLine="0" autoPict="0">
            <anchor moveWithCells="1">
              <from>
                <xdr:col>9</xdr:col>
                <xdr:colOff>533400</xdr:colOff>
                <xdr:row>19</xdr:row>
                <xdr:rowOff>0</xdr:rowOff>
              </from>
              <to>
                <xdr:col>9</xdr:col>
                <xdr:colOff>828675</xdr:colOff>
                <xdr:row>20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24" r:id="rId129" name="Check Box 180">
          <controlPr defaultSize="0" autoFill="0" autoLine="0" autoPict="0">
            <anchor moveWithCells="1">
              <from>
                <xdr:col>7</xdr:col>
                <xdr:colOff>514350</xdr:colOff>
                <xdr:row>50</xdr:row>
                <xdr:rowOff>0</xdr:rowOff>
              </from>
              <to>
                <xdr:col>7</xdr:col>
                <xdr:colOff>809625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25" r:id="rId130" name="Check Box 181">
          <controlPr defaultSize="0" autoFill="0" autoLine="0" autoPict="0">
            <anchor moveWithCells="1">
              <from>
                <xdr:col>8</xdr:col>
                <xdr:colOff>495300</xdr:colOff>
                <xdr:row>50</xdr:row>
                <xdr:rowOff>0</xdr:rowOff>
              </from>
              <to>
                <xdr:col>8</xdr:col>
                <xdr:colOff>790575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26" r:id="rId131" name="Check Box 182">
          <controlPr defaultSize="0" autoFill="0" autoLine="0" autoPict="0">
            <anchor moveWithCells="1">
              <from>
                <xdr:col>9</xdr:col>
                <xdr:colOff>533400</xdr:colOff>
                <xdr:row>50</xdr:row>
                <xdr:rowOff>0</xdr:rowOff>
              </from>
              <to>
                <xdr:col>9</xdr:col>
                <xdr:colOff>828675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28" r:id="rId132" name="Check Box 184">
          <controlPr defaultSize="0" autoFill="0" autoLine="0" autoPict="0">
            <anchor moveWithCells="1">
              <from>
                <xdr:col>7</xdr:col>
                <xdr:colOff>514350</xdr:colOff>
                <xdr:row>73</xdr:row>
                <xdr:rowOff>0</xdr:rowOff>
              </from>
              <to>
                <xdr:col>7</xdr:col>
                <xdr:colOff>809625</xdr:colOff>
                <xdr:row>74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29" r:id="rId133" name="Check Box 185">
          <controlPr defaultSize="0" autoFill="0" autoLine="0" autoPict="0">
            <anchor moveWithCells="1">
              <from>
                <xdr:col>8</xdr:col>
                <xdr:colOff>495300</xdr:colOff>
                <xdr:row>73</xdr:row>
                <xdr:rowOff>0</xdr:rowOff>
              </from>
              <to>
                <xdr:col>8</xdr:col>
                <xdr:colOff>790575</xdr:colOff>
                <xdr:row>74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30" r:id="rId134" name="Check Box 186">
          <controlPr defaultSize="0" autoFill="0" autoLine="0" autoPict="0">
            <anchor moveWithCells="1">
              <from>
                <xdr:col>9</xdr:col>
                <xdr:colOff>533400</xdr:colOff>
                <xdr:row>73</xdr:row>
                <xdr:rowOff>0</xdr:rowOff>
              </from>
              <to>
                <xdr:col>9</xdr:col>
                <xdr:colOff>828675</xdr:colOff>
                <xdr:row>74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32" r:id="rId135" name="Check Box 188">
          <controlPr defaultSize="0" autoFill="0" autoLine="0" autoPict="0">
            <anchor moveWithCells="1">
              <from>
                <xdr:col>7</xdr:col>
                <xdr:colOff>514350</xdr:colOff>
                <xdr:row>74</xdr:row>
                <xdr:rowOff>0</xdr:rowOff>
              </from>
              <to>
                <xdr:col>7</xdr:col>
                <xdr:colOff>809625</xdr:colOff>
                <xdr:row>75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33" r:id="rId136" name="Check Box 189">
          <controlPr defaultSize="0" autoFill="0" autoLine="0" autoPict="0">
            <anchor moveWithCells="1">
              <from>
                <xdr:col>8</xdr:col>
                <xdr:colOff>495300</xdr:colOff>
                <xdr:row>74</xdr:row>
                <xdr:rowOff>0</xdr:rowOff>
              </from>
              <to>
                <xdr:col>8</xdr:col>
                <xdr:colOff>790575</xdr:colOff>
                <xdr:row>75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34" r:id="rId137" name="Check Box 190">
          <controlPr defaultSize="0" autoFill="0" autoLine="0" autoPict="0">
            <anchor moveWithCells="1">
              <from>
                <xdr:col>9</xdr:col>
                <xdr:colOff>533400</xdr:colOff>
                <xdr:row>74</xdr:row>
                <xdr:rowOff>0</xdr:rowOff>
              </from>
              <to>
                <xdr:col>9</xdr:col>
                <xdr:colOff>828675</xdr:colOff>
                <xdr:row>75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36" r:id="rId138" name="Check Box 192">
          <controlPr defaultSize="0" autoFill="0" autoLine="0" autoPict="0">
            <anchor moveWithCells="1">
              <from>
                <xdr:col>7</xdr:col>
                <xdr:colOff>514350</xdr:colOff>
                <xdr:row>75</xdr:row>
                <xdr:rowOff>0</xdr:rowOff>
              </from>
              <to>
                <xdr:col>7</xdr:col>
                <xdr:colOff>809625</xdr:colOff>
                <xdr:row>76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37" r:id="rId139" name="Check Box 193">
          <controlPr defaultSize="0" autoFill="0" autoLine="0" autoPict="0">
            <anchor moveWithCells="1">
              <from>
                <xdr:col>8</xdr:col>
                <xdr:colOff>495300</xdr:colOff>
                <xdr:row>75</xdr:row>
                <xdr:rowOff>0</xdr:rowOff>
              </from>
              <to>
                <xdr:col>8</xdr:col>
                <xdr:colOff>790575</xdr:colOff>
                <xdr:row>76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38" r:id="rId140" name="Check Box 194">
          <controlPr defaultSize="0" autoFill="0" autoLine="0" autoPict="0">
            <anchor moveWithCells="1">
              <from>
                <xdr:col>9</xdr:col>
                <xdr:colOff>533400</xdr:colOff>
                <xdr:row>75</xdr:row>
                <xdr:rowOff>0</xdr:rowOff>
              </from>
              <to>
                <xdr:col>9</xdr:col>
                <xdr:colOff>828675</xdr:colOff>
                <xdr:row>76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40" r:id="rId141" name="Check Box 196">
          <controlPr defaultSize="0" autoFill="0" autoLine="0" autoPict="0">
            <anchor moveWithCells="1">
              <from>
                <xdr:col>7</xdr:col>
                <xdr:colOff>514350</xdr:colOff>
                <xdr:row>20</xdr:row>
                <xdr:rowOff>0</xdr:rowOff>
              </from>
              <to>
                <xdr:col>7</xdr:col>
                <xdr:colOff>809625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41" r:id="rId142" name="Check Box 197">
          <controlPr defaultSize="0" autoFill="0" autoLine="0" autoPict="0">
            <anchor moveWithCells="1">
              <from>
                <xdr:col>8</xdr:col>
                <xdr:colOff>495300</xdr:colOff>
                <xdr:row>20</xdr:row>
                <xdr:rowOff>0</xdr:rowOff>
              </from>
              <to>
                <xdr:col>8</xdr:col>
                <xdr:colOff>790575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42" r:id="rId143" name="Check Box 198">
          <controlPr defaultSize="0" autoFill="0" autoLine="0" autoPict="0">
            <anchor moveWithCells="1">
              <from>
                <xdr:col>9</xdr:col>
                <xdr:colOff>533400</xdr:colOff>
                <xdr:row>20</xdr:row>
                <xdr:rowOff>0</xdr:rowOff>
              </from>
              <to>
                <xdr:col>9</xdr:col>
                <xdr:colOff>828675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44" r:id="rId144" name="Check Box 200">
          <controlPr defaultSize="0" autoFill="0" autoLine="0" autoPict="0">
            <anchor moveWithCells="1">
              <from>
                <xdr:col>7</xdr:col>
                <xdr:colOff>514350</xdr:colOff>
                <xdr:row>51</xdr:row>
                <xdr:rowOff>0</xdr:rowOff>
              </from>
              <to>
                <xdr:col>7</xdr:col>
                <xdr:colOff>809625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45" r:id="rId145" name="Check Box 201">
          <controlPr defaultSize="0" autoFill="0" autoLine="0" autoPict="0">
            <anchor moveWithCells="1">
              <from>
                <xdr:col>8</xdr:col>
                <xdr:colOff>495300</xdr:colOff>
                <xdr:row>51</xdr:row>
                <xdr:rowOff>0</xdr:rowOff>
              </from>
              <to>
                <xdr:col>8</xdr:col>
                <xdr:colOff>790575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46" r:id="rId146" name="Check Box 202">
          <controlPr defaultSize="0" autoFill="0" autoLine="0" autoPict="0">
            <anchor moveWithCells="1">
              <from>
                <xdr:col>9</xdr:col>
                <xdr:colOff>533400</xdr:colOff>
                <xdr:row>51</xdr:row>
                <xdr:rowOff>0</xdr:rowOff>
              </from>
              <to>
                <xdr:col>9</xdr:col>
                <xdr:colOff>828675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48" r:id="rId147" name="Check Box 204">
          <controlPr defaultSize="0" autoFill="0" autoLine="0" autoPict="0">
            <anchor moveWithCells="1">
              <from>
                <xdr:col>7</xdr:col>
                <xdr:colOff>514350</xdr:colOff>
                <xdr:row>52</xdr:row>
                <xdr:rowOff>0</xdr:rowOff>
              </from>
              <to>
                <xdr:col>7</xdr:col>
                <xdr:colOff>809625</xdr:colOff>
                <xdr:row>53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49" r:id="rId148" name="Check Box 205">
          <controlPr defaultSize="0" autoFill="0" autoLine="0" autoPict="0">
            <anchor moveWithCells="1">
              <from>
                <xdr:col>8</xdr:col>
                <xdr:colOff>495300</xdr:colOff>
                <xdr:row>52</xdr:row>
                <xdr:rowOff>0</xdr:rowOff>
              </from>
              <to>
                <xdr:col>8</xdr:col>
                <xdr:colOff>790575</xdr:colOff>
                <xdr:row>53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50" r:id="rId149" name="Check Box 206">
          <controlPr defaultSize="0" autoFill="0" autoLine="0" autoPict="0">
            <anchor moveWithCells="1">
              <from>
                <xdr:col>9</xdr:col>
                <xdr:colOff>533400</xdr:colOff>
                <xdr:row>52</xdr:row>
                <xdr:rowOff>0</xdr:rowOff>
              </from>
              <to>
                <xdr:col>9</xdr:col>
                <xdr:colOff>828675</xdr:colOff>
                <xdr:row>53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52" r:id="rId150" name="Check Box 208">
          <controlPr defaultSize="0" autoFill="0" autoLine="0" autoPict="0">
            <anchor moveWithCells="1">
              <from>
                <xdr:col>7</xdr:col>
                <xdr:colOff>514350</xdr:colOff>
                <xdr:row>54</xdr:row>
                <xdr:rowOff>0</xdr:rowOff>
              </from>
              <to>
                <xdr:col>7</xdr:col>
                <xdr:colOff>809625</xdr:colOff>
                <xdr:row>55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53" r:id="rId151" name="Check Box 209">
          <controlPr defaultSize="0" autoFill="0" autoLine="0" autoPict="0">
            <anchor moveWithCells="1">
              <from>
                <xdr:col>8</xdr:col>
                <xdr:colOff>495300</xdr:colOff>
                <xdr:row>54</xdr:row>
                <xdr:rowOff>0</xdr:rowOff>
              </from>
              <to>
                <xdr:col>8</xdr:col>
                <xdr:colOff>790575</xdr:colOff>
                <xdr:row>55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54" r:id="rId152" name="Check Box 210">
          <controlPr defaultSize="0" autoFill="0" autoLine="0" autoPict="0">
            <anchor moveWithCells="1">
              <from>
                <xdr:col>9</xdr:col>
                <xdr:colOff>533400</xdr:colOff>
                <xdr:row>54</xdr:row>
                <xdr:rowOff>0</xdr:rowOff>
              </from>
              <to>
                <xdr:col>9</xdr:col>
                <xdr:colOff>828675</xdr:colOff>
                <xdr:row>55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56" r:id="rId153" name="Check Box 212">
          <controlPr defaultSize="0" autoFill="0" autoLine="0" autoPict="0">
            <anchor moveWithCells="1">
              <from>
                <xdr:col>7</xdr:col>
                <xdr:colOff>514350</xdr:colOff>
                <xdr:row>76</xdr:row>
                <xdr:rowOff>0</xdr:rowOff>
              </from>
              <to>
                <xdr:col>7</xdr:col>
                <xdr:colOff>809625</xdr:colOff>
                <xdr:row>77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57" r:id="rId154" name="Check Box 213">
          <controlPr defaultSize="0" autoFill="0" autoLine="0" autoPict="0">
            <anchor moveWithCells="1">
              <from>
                <xdr:col>8</xdr:col>
                <xdr:colOff>495300</xdr:colOff>
                <xdr:row>76</xdr:row>
                <xdr:rowOff>0</xdr:rowOff>
              </from>
              <to>
                <xdr:col>8</xdr:col>
                <xdr:colOff>790575</xdr:colOff>
                <xdr:row>77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58" r:id="rId155" name="Check Box 214">
          <controlPr defaultSize="0" autoFill="0" autoLine="0" autoPict="0">
            <anchor moveWithCells="1">
              <from>
                <xdr:col>9</xdr:col>
                <xdr:colOff>533400</xdr:colOff>
                <xdr:row>76</xdr:row>
                <xdr:rowOff>0</xdr:rowOff>
              </from>
              <to>
                <xdr:col>9</xdr:col>
                <xdr:colOff>828675</xdr:colOff>
                <xdr:row>77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60" r:id="rId156" name="Check Box 216">
          <controlPr defaultSize="0" autoFill="0" autoLine="0" autoPict="0">
            <anchor moveWithCells="1">
              <from>
                <xdr:col>7</xdr:col>
                <xdr:colOff>514350</xdr:colOff>
                <xdr:row>77</xdr:row>
                <xdr:rowOff>0</xdr:rowOff>
              </from>
              <to>
                <xdr:col>7</xdr:col>
                <xdr:colOff>809625</xdr:colOff>
                <xdr:row>78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61" r:id="rId157" name="Check Box 217">
          <controlPr defaultSize="0" autoFill="0" autoLine="0" autoPict="0">
            <anchor moveWithCells="1">
              <from>
                <xdr:col>8</xdr:col>
                <xdr:colOff>495300</xdr:colOff>
                <xdr:row>77</xdr:row>
                <xdr:rowOff>0</xdr:rowOff>
              </from>
              <to>
                <xdr:col>8</xdr:col>
                <xdr:colOff>790575</xdr:colOff>
                <xdr:row>78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62" r:id="rId158" name="Check Box 218">
          <controlPr defaultSize="0" autoFill="0" autoLine="0" autoPict="0">
            <anchor moveWithCells="1">
              <from>
                <xdr:col>9</xdr:col>
                <xdr:colOff>533400</xdr:colOff>
                <xdr:row>77</xdr:row>
                <xdr:rowOff>0</xdr:rowOff>
              </from>
              <to>
                <xdr:col>9</xdr:col>
                <xdr:colOff>828675</xdr:colOff>
                <xdr:row>78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64" r:id="rId159" name="Check Box 220">
          <controlPr defaultSize="0" autoFill="0" autoLine="0" autoPict="0">
            <anchor moveWithCells="1">
              <from>
                <xdr:col>7</xdr:col>
                <xdr:colOff>514350</xdr:colOff>
                <xdr:row>55</xdr:row>
                <xdr:rowOff>0</xdr:rowOff>
              </from>
              <to>
                <xdr:col>7</xdr:col>
                <xdr:colOff>809625</xdr:colOff>
                <xdr:row>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65" r:id="rId160" name="Check Box 221">
          <controlPr defaultSize="0" autoFill="0" autoLine="0" autoPict="0">
            <anchor moveWithCells="1">
              <from>
                <xdr:col>8</xdr:col>
                <xdr:colOff>495300</xdr:colOff>
                <xdr:row>55</xdr:row>
                <xdr:rowOff>0</xdr:rowOff>
              </from>
              <to>
                <xdr:col>8</xdr:col>
                <xdr:colOff>790575</xdr:colOff>
                <xdr:row>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66" r:id="rId161" name="Check Box 222">
          <controlPr defaultSize="0" autoFill="0" autoLine="0" autoPict="0">
            <anchor moveWithCells="1">
              <from>
                <xdr:col>9</xdr:col>
                <xdr:colOff>533400</xdr:colOff>
                <xdr:row>55</xdr:row>
                <xdr:rowOff>0</xdr:rowOff>
              </from>
              <to>
                <xdr:col>9</xdr:col>
                <xdr:colOff>828675</xdr:colOff>
                <xdr:row>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68" r:id="rId162" name="Check Box 224">
          <controlPr defaultSize="0" autoFill="0" autoLine="0" autoPict="0">
            <anchor moveWithCells="1">
              <from>
                <xdr:col>7</xdr:col>
                <xdr:colOff>514350</xdr:colOff>
                <xdr:row>56</xdr:row>
                <xdr:rowOff>0</xdr:rowOff>
              </from>
              <to>
                <xdr:col>7</xdr:col>
                <xdr:colOff>809625</xdr:colOff>
                <xdr:row>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69" r:id="rId163" name="Check Box 225">
          <controlPr defaultSize="0" autoFill="0" autoLine="0" autoPict="0">
            <anchor moveWithCells="1">
              <from>
                <xdr:col>8</xdr:col>
                <xdr:colOff>495300</xdr:colOff>
                <xdr:row>56</xdr:row>
                <xdr:rowOff>0</xdr:rowOff>
              </from>
              <to>
                <xdr:col>8</xdr:col>
                <xdr:colOff>790575</xdr:colOff>
                <xdr:row>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70" r:id="rId164" name="Check Box 226">
          <controlPr defaultSize="0" autoFill="0" autoLine="0" autoPict="0">
            <anchor moveWithCells="1">
              <from>
                <xdr:col>9</xdr:col>
                <xdr:colOff>533400</xdr:colOff>
                <xdr:row>56</xdr:row>
                <xdr:rowOff>0</xdr:rowOff>
              </from>
              <to>
                <xdr:col>9</xdr:col>
                <xdr:colOff>828675</xdr:colOff>
                <xdr:row>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72" r:id="rId165" name="Check Box 228">
          <controlPr defaultSize="0" autoFill="0" autoLine="0" autoPict="0">
            <anchor moveWithCells="1">
              <from>
                <xdr:col>7</xdr:col>
                <xdr:colOff>514350</xdr:colOff>
                <xdr:row>78</xdr:row>
                <xdr:rowOff>0</xdr:rowOff>
              </from>
              <to>
                <xdr:col>7</xdr:col>
                <xdr:colOff>809625</xdr:colOff>
                <xdr:row>79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73" r:id="rId166" name="Check Box 229">
          <controlPr defaultSize="0" autoFill="0" autoLine="0" autoPict="0">
            <anchor moveWithCells="1">
              <from>
                <xdr:col>8</xdr:col>
                <xdr:colOff>495300</xdr:colOff>
                <xdr:row>78</xdr:row>
                <xdr:rowOff>0</xdr:rowOff>
              </from>
              <to>
                <xdr:col>8</xdr:col>
                <xdr:colOff>790575</xdr:colOff>
                <xdr:row>79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74" r:id="rId167" name="Check Box 230">
          <controlPr defaultSize="0" autoFill="0" autoLine="0" autoPict="0">
            <anchor moveWithCells="1">
              <from>
                <xdr:col>9</xdr:col>
                <xdr:colOff>533400</xdr:colOff>
                <xdr:row>78</xdr:row>
                <xdr:rowOff>0</xdr:rowOff>
              </from>
              <to>
                <xdr:col>9</xdr:col>
                <xdr:colOff>828675</xdr:colOff>
                <xdr:row>79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76" r:id="rId168" name="Check Box 232">
          <controlPr defaultSize="0" autoFill="0" autoLine="0" autoPict="0">
            <anchor moveWithCells="1">
              <from>
                <xdr:col>7</xdr:col>
                <xdr:colOff>514350</xdr:colOff>
                <xdr:row>21</xdr:row>
                <xdr:rowOff>0</xdr:rowOff>
              </from>
              <to>
                <xdr:col>7</xdr:col>
                <xdr:colOff>809625</xdr:colOff>
                <xdr:row>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77" r:id="rId169" name="Check Box 233">
          <controlPr defaultSize="0" autoFill="0" autoLine="0" autoPict="0">
            <anchor moveWithCells="1">
              <from>
                <xdr:col>8</xdr:col>
                <xdr:colOff>495300</xdr:colOff>
                <xdr:row>21</xdr:row>
                <xdr:rowOff>0</xdr:rowOff>
              </from>
              <to>
                <xdr:col>8</xdr:col>
                <xdr:colOff>790575</xdr:colOff>
                <xdr:row>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78" r:id="rId170" name="Check Box 234">
          <controlPr defaultSize="0" autoFill="0" autoLine="0" autoPict="0">
            <anchor moveWithCells="1">
              <from>
                <xdr:col>9</xdr:col>
                <xdr:colOff>533400</xdr:colOff>
                <xdr:row>21</xdr:row>
                <xdr:rowOff>0</xdr:rowOff>
              </from>
              <to>
                <xdr:col>9</xdr:col>
                <xdr:colOff>828675</xdr:colOff>
                <xdr:row>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80" r:id="rId171" name="Check Box 236">
          <controlPr defaultSize="0" autoFill="0" autoLine="0" autoPict="0">
            <anchor moveWithCells="1">
              <from>
                <xdr:col>7</xdr:col>
                <xdr:colOff>514350</xdr:colOff>
                <xdr:row>57</xdr:row>
                <xdr:rowOff>0</xdr:rowOff>
              </from>
              <to>
                <xdr:col>7</xdr:col>
                <xdr:colOff>809625</xdr:colOff>
                <xdr:row>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81" r:id="rId172" name="Check Box 237">
          <controlPr defaultSize="0" autoFill="0" autoLine="0" autoPict="0">
            <anchor moveWithCells="1">
              <from>
                <xdr:col>8</xdr:col>
                <xdr:colOff>495300</xdr:colOff>
                <xdr:row>57</xdr:row>
                <xdr:rowOff>0</xdr:rowOff>
              </from>
              <to>
                <xdr:col>8</xdr:col>
                <xdr:colOff>790575</xdr:colOff>
                <xdr:row>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82" r:id="rId173" name="Check Box 238">
          <controlPr defaultSize="0" autoFill="0" autoLine="0" autoPict="0">
            <anchor moveWithCells="1">
              <from>
                <xdr:col>9</xdr:col>
                <xdr:colOff>533400</xdr:colOff>
                <xdr:row>57</xdr:row>
                <xdr:rowOff>0</xdr:rowOff>
              </from>
              <to>
                <xdr:col>9</xdr:col>
                <xdr:colOff>828675</xdr:colOff>
                <xdr:row>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84" r:id="rId174" name="Check Box 240">
          <controlPr defaultSize="0" autoFill="0" autoLine="0" autoPict="0">
            <anchor moveWithCells="1">
              <from>
                <xdr:col>7</xdr:col>
                <xdr:colOff>514350</xdr:colOff>
                <xdr:row>22</xdr:row>
                <xdr:rowOff>0</xdr:rowOff>
              </from>
              <to>
                <xdr:col>7</xdr:col>
                <xdr:colOff>809625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85" r:id="rId175" name="Check Box 241">
          <controlPr defaultSize="0" autoFill="0" autoLine="0" autoPict="0">
            <anchor moveWithCells="1">
              <from>
                <xdr:col>8</xdr:col>
                <xdr:colOff>495300</xdr:colOff>
                <xdr:row>22</xdr:row>
                <xdr:rowOff>0</xdr:rowOff>
              </from>
              <to>
                <xdr:col>8</xdr:col>
                <xdr:colOff>790575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86" r:id="rId176" name="Check Box 242">
          <controlPr defaultSize="0" autoFill="0" autoLine="0" autoPict="0">
            <anchor moveWithCells="1">
              <from>
                <xdr:col>9</xdr:col>
                <xdr:colOff>533400</xdr:colOff>
                <xdr:row>22</xdr:row>
                <xdr:rowOff>0</xdr:rowOff>
              </from>
              <to>
                <xdr:col>9</xdr:col>
                <xdr:colOff>828675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88" r:id="rId177" name="Check Box 244">
          <controlPr defaultSize="0" autoFill="0" autoLine="0" autoPict="0">
            <anchor moveWithCells="1">
              <from>
                <xdr:col>7</xdr:col>
                <xdr:colOff>514350</xdr:colOff>
                <xdr:row>23</xdr:row>
                <xdr:rowOff>0</xdr:rowOff>
              </from>
              <to>
                <xdr:col>7</xdr:col>
                <xdr:colOff>809625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89" r:id="rId178" name="Check Box 245">
          <controlPr defaultSize="0" autoFill="0" autoLine="0" autoPict="0">
            <anchor moveWithCells="1">
              <from>
                <xdr:col>8</xdr:col>
                <xdr:colOff>495300</xdr:colOff>
                <xdr:row>23</xdr:row>
                <xdr:rowOff>0</xdr:rowOff>
              </from>
              <to>
                <xdr:col>8</xdr:col>
                <xdr:colOff>790575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90" r:id="rId179" name="Check Box 246">
          <controlPr defaultSize="0" autoFill="0" autoLine="0" autoPict="0">
            <anchor moveWithCells="1">
              <from>
                <xdr:col>9</xdr:col>
                <xdr:colOff>533400</xdr:colOff>
                <xdr:row>23</xdr:row>
                <xdr:rowOff>0</xdr:rowOff>
              </from>
              <to>
                <xdr:col>9</xdr:col>
                <xdr:colOff>828675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92" r:id="rId180" name="Check Box 248">
          <controlPr defaultSize="0" autoFill="0" autoLine="0" autoPict="0">
            <anchor moveWithCells="1">
              <from>
                <xdr:col>7</xdr:col>
                <xdr:colOff>514350</xdr:colOff>
                <xdr:row>58</xdr:row>
                <xdr:rowOff>0</xdr:rowOff>
              </from>
              <to>
                <xdr:col>7</xdr:col>
                <xdr:colOff>809625</xdr:colOff>
                <xdr:row>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93" r:id="rId181" name="Check Box 249">
          <controlPr defaultSize="0" autoFill="0" autoLine="0" autoPict="0">
            <anchor moveWithCells="1">
              <from>
                <xdr:col>8</xdr:col>
                <xdr:colOff>495300</xdr:colOff>
                <xdr:row>58</xdr:row>
                <xdr:rowOff>0</xdr:rowOff>
              </from>
              <to>
                <xdr:col>8</xdr:col>
                <xdr:colOff>790575</xdr:colOff>
                <xdr:row>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94" r:id="rId182" name="Check Box 250">
          <controlPr defaultSize="0" autoFill="0" autoLine="0" autoPict="0">
            <anchor moveWithCells="1">
              <from>
                <xdr:col>9</xdr:col>
                <xdr:colOff>533400</xdr:colOff>
                <xdr:row>58</xdr:row>
                <xdr:rowOff>0</xdr:rowOff>
              </from>
              <to>
                <xdr:col>9</xdr:col>
                <xdr:colOff>828675</xdr:colOff>
                <xdr:row>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96" r:id="rId183" name="Check Box 252">
          <controlPr defaultSize="0" autoFill="0" autoLine="0" autoPict="0">
            <anchor moveWithCells="1">
              <from>
                <xdr:col>7</xdr:col>
                <xdr:colOff>514350</xdr:colOff>
                <xdr:row>79</xdr:row>
                <xdr:rowOff>0</xdr:rowOff>
              </from>
              <to>
                <xdr:col>7</xdr:col>
                <xdr:colOff>809625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97" r:id="rId184" name="Check Box 253">
          <controlPr defaultSize="0" autoFill="0" autoLine="0" autoPict="0">
            <anchor moveWithCells="1">
              <from>
                <xdr:col>8</xdr:col>
                <xdr:colOff>495300</xdr:colOff>
                <xdr:row>79</xdr:row>
                <xdr:rowOff>0</xdr:rowOff>
              </from>
              <to>
                <xdr:col>8</xdr:col>
                <xdr:colOff>790575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98" r:id="rId185" name="Check Box 254">
          <controlPr defaultSize="0" autoFill="0" autoLine="0" autoPict="0">
            <anchor moveWithCells="1">
              <from>
                <xdr:col>9</xdr:col>
                <xdr:colOff>533400</xdr:colOff>
                <xdr:row>79</xdr:row>
                <xdr:rowOff>0</xdr:rowOff>
              </from>
              <to>
                <xdr:col>9</xdr:col>
                <xdr:colOff>828675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00" r:id="rId186" name="Check Box 256">
          <controlPr defaultSize="0" autoFill="0" autoLine="0" autoPict="0">
            <anchor moveWithCells="1">
              <from>
                <xdr:col>7</xdr:col>
                <xdr:colOff>514350</xdr:colOff>
                <xdr:row>80</xdr:row>
                <xdr:rowOff>0</xdr:rowOff>
              </from>
              <to>
                <xdr:col>7</xdr:col>
                <xdr:colOff>809625</xdr:colOff>
                <xdr:row>81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01" r:id="rId187" name="Check Box 257">
          <controlPr defaultSize="0" autoFill="0" autoLine="0" autoPict="0">
            <anchor moveWithCells="1">
              <from>
                <xdr:col>8</xdr:col>
                <xdr:colOff>495300</xdr:colOff>
                <xdr:row>80</xdr:row>
                <xdr:rowOff>0</xdr:rowOff>
              </from>
              <to>
                <xdr:col>8</xdr:col>
                <xdr:colOff>790575</xdr:colOff>
                <xdr:row>81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02" r:id="rId188" name="Check Box 258">
          <controlPr defaultSize="0" autoFill="0" autoLine="0" autoPict="0">
            <anchor moveWithCells="1">
              <from>
                <xdr:col>9</xdr:col>
                <xdr:colOff>533400</xdr:colOff>
                <xdr:row>80</xdr:row>
                <xdr:rowOff>0</xdr:rowOff>
              </from>
              <to>
                <xdr:col>9</xdr:col>
                <xdr:colOff>828675</xdr:colOff>
                <xdr:row>81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04" r:id="rId189" name="Check Box 260">
          <controlPr defaultSize="0" autoFill="0" autoLine="0" autoPict="0">
            <anchor moveWithCells="1">
              <from>
                <xdr:col>7</xdr:col>
                <xdr:colOff>514350</xdr:colOff>
                <xdr:row>81</xdr:row>
                <xdr:rowOff>0</xdr:rowOff>
              </from>
              <to>
                <xdr:col>7</xdr:col>
                <xdr:colOff>809625</xdr:colOff>
                <xdr:row>82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05" r:id="rId190" name="Check Box 261">
          <controlPr defaultSize="0" autoFill="0" autoLine="0" autoPict="0">
            <anchor moveWithCells="1">
              <from>
                <xdr:col>8</xdr:col>
                <xdr:colOff>495300</xdr:colOff>
                <xdr:row>81</xdr:row>
                <xdr:rowOff>0</xdr:rowOff>
              </from>
              <to>
                <xdr:col>8</xdr:col>
                <xdr:colOff>790575</xdr:colOff>
                <xdr:row>82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06" r:id="rId191" name="Check Box 262">
          <controlPr defaultSize="0" autoFill="0" autoLine="0" autoPict="0">
            <anchor moveWithCells="1">
              <from>
                <xdr:col>9</xdr:col>
                <xdr:colOff>533400</xdr:colOff>
                <xdr:row>81</xdr:row>
                <xdr:rowOff>0</xdr:rowOff>
              </from>
              <to>
                <xdr:col>9</xdr:col>
                <xdr:colOff>828675</xdr:colOff>
                <xdr:row>82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08" r:id="rId192" name="Check Box 264">
          <controlPr defaultSize="0" autoFill="0" autoLine="0" autoPict="0">
            <anchor moveWithCells="1">
              <from>
                <xdr:col>7</xdr:col>
                <xdr:colOff>514350</xdr:colOff>
                <xdr:row>59</xdr:row>
                <xdr:rowOff>0</xdr:rowOff>
              </from>
              <to>
                <xdr:col>7</xdr:col>
                <xdr:colOff>809625</xdr:colOff>
                <xdr:row>60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09" r:id="rId193" name="Check Box 265">
          <controlPr defaultSize="0" autoFill="0" autoLine="0" autoPict="0">
            <anchor moveWithCells="1">
              <from>
                <xdr:col>8</xdr:col>
                <xdr:colOff>495300</xdr:colOff>
                <xdr:row>59</xdr:row>
                <xdr:rowOff>0</xdr:rowOff>
              </from>
              <to>
                <xdr:col>8</xdr:col>
                <xdr:colOff>790575</xdr:colOff>
                <xdr:row>60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10" r:id="rId194" name="Check Box 266">
          <controlPr defaultSize="0" autoFill="0" autoLine="0" autoPict="0">
            <anchor moveWithCells="1">
              <from>
                <xdr:col>9</xdr:col>
                <xdr:colOff>533400</xdr:colOff>
                <xdr:row>59</xdr:row>
                <xdr:rowOff>0</xdr:rowOff>
              </from>
              <to>
                <xdr:col>9</xdr:col>
                <xdr:colOff>828675</xdr:colOff>
                <xdr:row>60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12" r:id="rId195" name="Check Box 268">
          <controlPr defaultSize="0" autoFill="0" autoLine="0" autoPict="0">
            <anchor moveWithCells="1">
              <from>
                <xdr:col>7</xdr:col>
                <xdr:colOff>514350</xdr:colOff>
                <xdr:row>82</xdr:row>
                <xdr:rowOff>0</xdr:rowOff>
              </from>
              <to>
                <xdr:col>7</xdr:col>
                <xdr:colOff>809625</xdr:colOff>
                <xdr:row>83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13" r:id="rId196" name="Check Box 269">
          <controlPr defaultSize="0" autoFill="0" autoLine="0" autoPict="0">
            <anchor moveWithCells="1">
              <from>
                <xdr:col>8</xdr:col>
                <xdr:colOff>495300</xdr:colOff>
                <xdr:row>82</xdr:row>
                <xdr:rowOff>0</xdr:rowOff>
              </from>
              <to>
                <xdr:col>8</xdr:col>
                <xdr:colOff>790575</xdr:colOff>
                <xdr:row>83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14" r:id="rId197" name="Check Box 270">
          <controlPr defaultSize="0" autoFill="0" autoLine="0" autoPict="0">
            <anchor moveWithCells="1">
              <from>
                <xdr:col>9</xdr:col>
                <xdr:colOff>533400</xdr:colOff>
                <xdr:row>82</xdr:row>
                <xdr:rowOff>0</xdr:rowOff>
              </from>
              <to>
                <xdr:col>9</xdr:col>
                <xdr:colOff>828675</xdr:colOff>
                <xdr:row>83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16" r:id="rId198" name="Check Box 272">
          <controlPr defaultSize="0" autoFill="0" autoLine="0" autoPict="0">
            <anchor moveWithCells="1">
              <from>
                <xdr:col>7</xdr:col>
                <xdr:colOff>514350</xdr:colOff>
                <xdr:row>60</xdr:row>
                <xdr:rowOff>0</xdr:rowOff>
              </from>
              <to>
                <xdr:col>7</xdr:col>
                <xdr:colOff>809625</xdr:colOff>
                <xdr:row>61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17" r:id="rId199" name="Check Box 273">
          <controlPr defaultSize="0" autoFill="0" autoLine="0" autoPict="0">
            <anchor moveWithCells="1">
              <from>
                <xdr:col>8</xdr:col>
                <xdr:colOff>495300</xdr:colOff>
                <xdr:row>60</xdr:row>
                <xdr:rowOff>0</xdr:rowOff>
              </from>
              <to>
                <xdr:col>8</xdr:col>
                <xdr:colOff>790575</xdr:colOff>
                <xdr:row>61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18" r:id="rId200" name="Check Box 274">
          <controlPr defaultSize="0" autoFill="0" autoLine="0" autoPict="0">
            <anchor moveWithCells="1">
              <from>
                <xdr:col>9</xdr:col>
                <xdr:colOff>533400</xdr:colOff>
                <xdr:row>60</xdr:row>
                <xdr:rowOff>0</xdr:rowOff>
              </from>
              <to>
                <xdr:col>9</xdr:col>
                <xdr:colOff>828675</xdr:colOff>
                <xdr:row>61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20" r:id="rId201" name="Check Box 276">
          <controlPr defaultSize="0" autoFill="0" autoLine="0" autoPict="0">
            <anchor moveWithCells="1">
              <from>
                <xdr:col>7</xdr:col>
                <xdr:colOff>514350</xdr:colOff>
                <xdr:row>61</xdr:row>
                <xdr:rowOff>0</xdr:rowOff>
              </from>
              <to>
                <xdr:col>7</xdr:col>
                <xdr:colOff>809625</xdr:colOff>
                <xdr:row>62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21" r:id="rId202" name="Check Box 277">
          <controlPr defaultSize="0" autoFill="0" autoLine="0" autoPict="0">
            <anchor moveWithCells="1">
              <from>
                <xdr:col>8</xdr:col>
                <xdr:colOff>495300</xdr:colOff>
                <xdr:row>61</xdr:row>
                <xdr:rowOff>0</xdr:rowOff>
              </from>
              <to>
                <xdr:col>8</xdr:col>
                <xdr:colOff>790575</xdr:colOff>
                <xdr:row>62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22" r:id="rId203" name="Check Box 278">
          <controlPr defaultSize="0" autoFill="0" autoLine="0" autoPict="0">
            <anchor moveWithCells="1">
              <from>
                <xdr:col>9</xdr:col>
                <xdr:colOff>533400</xdr:colOff>
                <xdr:row>61</xdr:row>
                <xdr:rowOff>0</xdr:rowOff>
              </from>
              <to>
                <xdr:col>9</xdr:col>
                <xdr:colOff>828675</xdr:colOff>
                <xdr:row>62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24" r:id="rId204" name="Check Box 280">
          <controlPr defaultSize="0" autoFill="0" autoLine="0" autoPict="0">
            <anchor moveWithCells="1">
              <from>
                <xdr:col>7</xdr:col>
                <xdr:colOff>514350</xdr:colOff>
                <xdr:row>62</xdr:row>
                <xdr:rowOff>0</xdr:rowOff>
              </from>
              <to>
                <xdr:col>7</xdr:col>
                <xdr:colOff>809625</xdr:colOff>
                <xdr:row>63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25" r:id="rId205" name="Check Box 281">
          <controlPr defaultSize="0" autoFill="0" autoLine="0" autoPict="0">
            <anchor moveWithCells="1">
              <from>
                <xdr:col>8</xdr:col>
                <xdr:colOff>495300</xdr:colOff>
                <xdr:row>62</xdr:row>
                <xdr:rowOff>0</xdr:rowOff>
              </from>
              <to>
                <xdr:col>8</xdr:col>
                <xdr:colOff>790575</xdr:colOff>
                <xdr:row>63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26" r:id="rId206" name="Check Box 282">
          <controlPr defaultSize="0" autoFill="0" autoLine="0" autoPict="0">
            <anchor moveWithCells="1">
              <from>
                <xdr:col>9</xdr:col>
                <xdr:colOff>533400</xdr:colOff>
                <xdr:row>62</xdr:row>
                <xdr:rowOff>0</xdr:rowOff>
              </from>
              <to>
                <xdr:col>9</xdr:col>
                <xdr:colOff>828675</xdr:colOff>
                <xdr:row>63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28" r:id="rId207" name="Check Box 284">
          <controlPr defaultSize="0" autoFill="0" autoLine="0" autoPict="0">
            <anchor moveWithCells="1">
              <from>
                <xdr:col>7</xdr:col>
                <xdr:colOff>514350</xdr:colOff>
                <xdr:row>83</xdr:row>
                <xdr:rowOff>0</xdr:rowOff>
              </from>
              <to>
                <xdr:col>7</xdr:col>
                <xdr:colOff>809625</xdr:colOff>
                <xdr:row>84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29" r:id="rId208" name="Check Box 285">
          <controlPr defaultSize="0" autoFill="0" autoLine="0" autoPict="0">
            <anchor moveWithCells="1">
              <from>
                <xdr:col>8</xdr:col>
                <xdr:colOff>495300</xdr:colOff>
                <xdr:row>83</xdr:row>
                <xdr:rowOff>0</xdr:rowOff>
              </from>
              <to>
                <xdr:col>8</xdr:col>
                <xdr:colOff>790575</xdr:colOff>
                <xdr:row>84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30" r:id="rId209" name="Check Box 286">
          <controlPr defaultSize="0" autoFill="0" autoLine="0" autoPict="0">
            <anchor moveWithCells="1">
              <from>
                <xdr:col>9</xdr:col>
                <xdr:colOff>533400</xdr:colOff>
                <xdr:row>83</xdr:row>
                <xdr:rowOff>0</xdr:rowOff>
              </from>
              <to>
                <xdr:col>9</xdr:col>
                <xdr:colOff>828675</xdr:colOff>
                <xdr:row>84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32" r:id="rId210" name="Check Box 288">
          <controlPr defaultSize="0" autoFill="0" autoLine="0" autoPict="0">
            <anchor moveWithCells="1">
              <from>
                <xdr:col>7</xdr:col>
                <xdr:colOff>514350</xdr:colOff>
                <xdr:row>84</xdr:row>
                <xdr:rowOff>0</xdr:rowOff>
              </from>
              <to>
                <xdr:col>7</xdr:col>
                <xdr:colOff>809625</xdr:colOff>
                <xdr:row>85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33" r:id="rId211" name="Check Box 289">
          <controlPr defaultSize="0" autoFill="0" autoLine="0" autoPict="0">
            <anchor moveWithCells="1">
              <from>
                <xdr:col>8</xdr:col>
                <xdr:colOff>495300</xdr:colOff>
                <xdr:row>84</xdr:row>
                <xdr:rowOff>0</xdr:rowOff>
              </from>
              <to>
                <xdr:col>8</xdr:col>
                <xdr:colOff>790575</xdr:colOff>
                <xdr:row>85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34" r:id="rId212" name="Check Box 290">
          <controlPr defaultSize="0" autoFill="0" autoLine="0" autoPict="0">
            <anchor moveWithCells="1">
              <from>
                <xdr:col>9</xdr:col>
                <xdr:colOff>533400</xdr:colOff>
                <xdr:row>84</xdr:row>
                <xdr:rowOff>0</xdr:rowOff>
              </from>
              <to>
                <xdr:col>9</xdr:col>
                <xdr:colOff>828675</xdr:colOff>
                <xdr:row>85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36" r:id="rId213" name="Check Box 292">
          <controlPr defaultSize="0" autoFill="0" autoLine="0" autoPict="0">
            <anchor moveWithCells="1">
              <from>
                <xdr:col>7</xdr:col>
                <xdr:colOff>514350</xdr:colOff>
                <xdr:row>85</xdr:row>
                <xdr:rowOff>0</xdr:rowOff>
              </from>
              <to>
                <xdr:col>7</xdr:col>
                <xdr:colOff>809625</xdr:colOff>
                <xdr:row>86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37" r:id="rId214" name="Check Box 293">
          <controlPr defaultSize="0" autoFill="0" autoLine="0" autoPict="0">
            <anchor moveWithCells="1">
              <from>
                <xdr:col>8</xdr:col>
                <xdr:colOff>495300</xdr:colOff>
                <xdr:row>85</xdr:row>
                <xdr:rowOff>0</xdr:rowOff>
              </from>
              <to>
                <xdr:col>8</xdr:col>
                <xdr:colOff>790575</xdr:colOff>
                <xdr:row>86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38" r:id="rId215" name="Check Box 294">
          <controlPr defaultSize="0" autoFill="0" autoLine="0" autoPict="0">
            <anchor moveWithCells="1">
              <from>
                <xdr:col>9</xdr:col>
                <xdr:colOff>533400</xdr:colOff>
                <xdr:row>85</xdr:row>
                <xdr:rowOff>0</xdr:rowOff>
              </from>
              <to>
                <xdr:col>9</xdr:col>
                <xdr:colOff>828675</xdr:colOff>
                <xdr:row>86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40" r:id="rId216" name="Check Box 296">
          <controlPr defaultSize="0" autoFill="0" autoLine="0" autoPict="0">
            <anchor moveWithCells="1">
              <from>
                <xdr:col>7</xdr:col>
                <xdr:colOff>514350</xdr:colOff>
                <xdr:row>86</xdr:row>
                <xdr:rowOff>0</xdr:rowOff>
              </from>
              <to>
                <xdr:col>7</xdr:col>
                <xdr:colOff>809625</xdr:colOff>
                <xdr:row>87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41" r:id="rId217" name="Check Box 297">
          <controlPr defaultSize="0" autoFill="0" autoLine="0" autoPict="0">
            <anchor moveWithCells="1">
              <from>
                <xdr:col>8</xdr:col>
                <xdr:colOff>495300</xdr:colOff>
                <xdr:row>86</xdr:row>
                <xdr:rowOff>0</xdr:rowOff>
              </from>
              <to>
                <xdr:col>8</xdr:col>
                <xdr:colOff>790575</xdr:colOff>
                <xdr:row>87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42" r:id="rId218" name="Check Box 298">
          <controlPr defaultSize="0" autoFill="0" autoLine="0" autoPict="0">
            <anchor moveWithCells="1">
              <from>
                <xdr:col>9</xdr:col>
                <xdr:colOff>533400</xdr:colOff>
                <xdr:row>86</xdr:row>
                <xdr:rowOff>0</xdr:rowOff>
              </from>
              <to>
                <xdr:col>9</xdr:col>
                <xdr:colOff>828675</xdr:colOff>
                <xdr:row>87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44" r:id="rId219" name="Check Box 300">
          <controlPr defaultSize="0" autoFill="0" autoLine="0" autoPict="0">
            <anchor moveWithCells="1">
              <from>
                <xdr:col>7</xdr:col>
                <xdr:colOff>514350</xdr:colOff>
                <xdr:row>24</xdr:row>
                <xdr:rowOff>0</xdr:rowOff>
              </from>
              <to>
                <xdr:col>7</xdr:col>
                <xdr:colOff>809625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45" r:id="rId220" name="Check Box 301">
          <controlPr defaultSize="0" autoFill="0" autoLine="0" autoPict="0">
            <anchor moveWithCells="1">
              <from>
                <xdr:col>8</xdr:col>
                <xdr:colOff>495300</xdr:colOff>
                <xdr:row>24</xdr:row>
                <xdr:rowOff>0</xdr:rowOff>
              </from>
              <to>
                <xdr:col>8</xdr:col>
                <xdr:colOff>790575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46" r:id="rId221" name="Check Box 302">
          <controlPr defaultSize="0" autoFill="0" autoLine="0" autoPict="0">
            <anchor moveWithCells="1">
              <from>
                <xdr:col>9</xdr:col>
                <xdr:colOff>533400</xdr:colOff>
                <xdr:row>24</xdr:row>
                <xdr:rowOff>0</xdr:rowOff>
              </from>
              <to>
                <xdr:col>9</xdr:col>
                <xdr:colOff>828675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48" r:id="rId222" name="Check Box 304">
          <controlPr defaultSize="0" autoFill="0" autoLine="0" autoPict="0">
            <anchor moveWithCells="1">
              <from>
                <xdr:col>7</xdr:col>
                <xdr:colOff>514350</xdr:colOff>
                <xdr:row>25</xdr:row>
                <xdr:rowOff>0</xdr:rowOff>
              </from>
              <to>
                <xdr:col>7</xdr:col>
                <xdr:colOff>809625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49" r:id="rId223" name="Check Box 305">
          <controlPr defaultSize="0" autoFill="0" autoLine="0" autoPict="0">
            <anchor moveWithCells="1">
              <from>
                <xdr:col>8</xdr:col>
                <xdr:colOff>495300</xdr:colOff>
                <xdr:row>25</xdr:row>
                <xdr:rowOff>0</xdr:rowOff>
              </from>
              <to>
                <xdr:col>8</xdr:col>
                <xdr:colOff>790575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50" r:id="rId224" name="Check Box 306">
          <controlPr defaultSize="0" autoFill="0" autoLine="0" autoPict="0">
            <anchor moveWithCells="1">
              <from>
                <xdr:col>9</xdr:col>
                <xdr:colOff>533400</xdr:colOff>
                <xdr:row>25</xdr:row>
                <xdr:rowOff>0</xdr:rowOff>
              </from>
              <to>
                <xdr:col>9</xdr:col>
                <xdr:colOff>828675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52" r:id="rId225" name="Check Box 308">
          <controlPr defaultSize="0" autoFill="0" autoLine="0" autoPict="0">
            <anchor moveWithCells="1">
              <from>
                <xdr:col>7</xdr:col>
                <xdr:colOff>514350</xdr:colOff>
                <xdr:row>26</xdr:row>
                <xdr:rowOff>0</xdr:rowOff>
              </from>
              <to>
                <xdr:col>7</xdr:col>
                <xdr:colOff>809625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53" r:id="rId226" name="Check Box 309">
          <controlPr defaultSize="0" autoFill="0" autoLine="0" autoPict="0">
            <anchor moveWithCells="1">
              <from>
                <xdr:col>8</xdr:col>
                <xdr:colOff>495300</xdr:colOff>
                <xdr:row>26</xdr:row>
                <xdr:rowOff>0</xdr:rowOff>
              </from>
              <to>
                <xdr:col>8</xdr:col>
                <xdr:colOff>790575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54" r:id="rId227" name="Check Box 310">
          <controlPr defaultSize="0" autoFill="0" autoLine="0" autoPict="0">
            <anchor moveWithCells="1">
              <from>
                <xdr:col>9</xdr:col>
                <xdr:colOff>533400</xdr:colOff>
                <xdr:row>26</xdr:row>
                <xdr:rowOff>0</xdr:rowOff>
              </from>
              <to>
                <xdr:col>9</xdr:col>
                <xdr:colOff>828675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56" r:id="rId228" name="Check Box 312">
          <controlPr defaultSize="0" autoFill="0" autoLine="0" autoPict="0">
            <anchor moveWithCells="1">
              <from>
                <xdr:col>7</xdr:col>
                <xdr:colOff>514350</xdr:colOff>
                <xdr:row>27</xdr:row>
                <xdr:rowOff>0</xdr:rowOff>
              </from>
              <to>
                <xdr:col>7</xdr:col>
                <xdr:colOff>809625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57" r:id="rId229" name="Check Box 313">
          <controlPr defaultSize="0" autoFill="0" autoLine="0" autoPict="0">
            <anchor moveWithCells="1">
              <from>
                <xdr:col>8</xdr:col>
                <xdr:colOff>495300</xdr:colOff>
                <xdr:row>27</xdr:row>
                <xdr:rowOff>0</xdr:rowOff>
              </from>
              <to>
                <xdr:col>8</xdr:col>
                <xdr:colOff>790575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58" r:id="rId230" name="Check Box 314">
          <controlPr defaultSize="0" autoFill="0" autoLine="0" autoPict="0">
            <anchor moveWithCells="1">
              <from>
                <xdr:col>9</xdr:col>
                <xdr:colOff>533400</xdr:colOff>
                <xdr:row>27</xdr:row>
                <xdr:rowOff>0</xdr:rowOff>
              </from>
              <to>
                <xdr:col>9</xdr:col>
                <xdr:colOff>828675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60" r:id="rId231" name="Check Box 316">
          <controlPr defaultSize="0" autoFill="0" autoLine="0" autoPict="0">
            <anchor moveWithCells="1">
              <from>
                <xdr:col>7</xdr:col>
                <xdr:colOff>514350</xdr:colOff>
                <xdr:row>28</xdr:row>
                <xdr:rowOff>0</xdr:rowOff>
              </from>
              <to>
                <xdr:col>7</xdr:col>
                <xdr:colOff>809625</xdr:colOff>
                <xdr:row>29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61" r:id="rId232" name="Check Box 317">
          <controlPr defaultSize="0" autoFill="0" autoLine="0" autoPict="0">
            <anchor moveWithCells="1">
              <from>
                <xdr:col>8</xdr:col>
                <xdr:colOff>495300</xdr:colOff>
                <xdr:row>28</xdr:row>
                <xdr:rowOff>0</xdr:rowOff>
              </from>
              <to>
                <xdr:col>8</xdr:col>
                <xdr:colOff>790575</xdr:colOff>
                <xdr:row>29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62" r:id="rId233" name="Check Box 318">
          <controlPr defaultSize="0" autoFill="0" autoLine="0" autoPict="0">
            <anchor moveWithCells="1">
              <from>
                <xdr:col>9</xdr:col>
                <xdr:colOff>533400</xdr:colOff>
                <xdr:row>28</xdr:row>
                <xdr:rowOff>0</xdr:rowOff>
              </from>
              <to>
                <xdr:col>9</xdr:col>
                <xdr:colOff>828675</xdr:colOff>
                <xdr:row>29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64" r:id="rId234" name="Check Box 320">
          <controlPr defaultSize="0" autoFill="0" autoLine="0" autoPict="0">
            <anchor moveWithCells="1">
              <from>
                <xdr:col>7</xdr:col>
                <xdr:colOff>514350</xdr:colOff>
                <xdr:row>29</xdr:row>
                <xdr:rowOff>0</xdr:rowOff>
              </from>
              <to>
                <xdr:col>7</xdr:col>
                <xdr:colOff>809625</xdr:colOff>
                <xdr:row>30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65" r:id="rId235" name="Check Box 321">
          <controlPr defaultSize="0" autoFill="0" autoLine="0" autoPict="0">
            <anchor moveWithCells="1">
              <from>
                <xdr:col>8</xdr:col>
                <xdr:colOff>495300</xdr:colOff>
                <xdr:row>29</xdr:row>
                <xdr:rowOff>0</xdr:rowOff>
              </from>
              <to>
                <xdr:col>8</xdr:col>
                <xdr:colOff>790575</xdr:colOff>
                <xdr:row>30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66" r:id="rId236" name="Check Box 322">
          <controlPr defaultSize="0" autoFill="0" autoLine="0" autoPict="0">
            <anchor moveWithCells="1">
              <from>
                <xdr:col>9</xdr:col>
                <xdr:colOff>533400</xdr:colOff>
                <xdr:row>29</xdr:row>
                <xdr:rowOff>0</xdr:rowOff>
              </from>
              <to>
                <xdr:col>9</xdr:col>
                <xdr:colOff>828675</xdr:colOff>
                <xdr:row>30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68" r:id="rId237" name="Check Box 324">
          <controlPr defaultSize="0" autoFill="0" autoLine="0" autoPict="0">
            <anchor moveWithCells="1">
              <from>
                <xdr:col>7</xdr:col>
                <xdr:colOff>514350</xdr:colOff>
                <xdr:row>87</xdr:row>
                <xdr:rowOff>0</xdr:rowOff>
              </from>
              <to>
                <xdr:col>7</xdr:col>
                <xdr:colOff>809625</xdr:colOff>
                <xdr:row>88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69" r:id="rId238" name="Check Box 325">
          <controlPr defaultSize="0" autoFill="0" autoLine="0" autoPict="0">
            <anchor moveWithCells="1">
              <from>
                <xdr:col>8</xdr:col>
                <xdr:colOff>495300</xdr:colOff>
                <xdr:row>87</xdr:row>
                <xdr:rowOff>0</xdr:rowOff>
              </from>
              <to>
                <xdr:col>8</xdr:col>
                <xdr:colOff>790575</xdr:colOff>
                <xdr:row>88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70" r:id="rId239" name="Check Box 326">
          <controlPr defaultSize="0" autoFill="0" autoLine="0" autoPict="0">
            <anchor moveWithCells="1">
              <from>
                <xdr:col>9</xdr:col>
                <xdr:colOff>533400</xdr:colOff>
                <xdr:row>87</xdr:row>
                <xdr:rowOff>0</xdr:rowOff>
              </from>
              <to>
                <xdr:col>9</xdr:col>
                <xdr:colOff>828675</xdr:colOff>
                <xdr:row>88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72" r:id="rId240" name="Check Box 328">
          <controlPr defaultSize="0" autoFill="0" autoLine="0" autoPict="0">
            <anchor moveWithCells="1">
              <from>
                <xdr:col>7</xdr:col>
                <xdr:colOff>514350</xdr:colOff>
                <xdr:row>88</xdr:row>
                <xdr:rowOff>0</xdr:rowOff>
              </from>
              <to>
                <xdr:col>7</xdr:col>
                <xdr:colOff>809625</xdr:colOff>
                <xdr:row>89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73" r:id="rId241" name="Check Box 329">
          <controlPr defaultSize="0" autoFill="0" autoLine="0" autoPict="0">
            <anchor moveWithCells="1">
              <from>
                <xdr:col>8</xdr:col>
                <xdr:colOff>495300</xdr:colOff>
                <xdr:row>88</xdr:row>
                <xdr:rowOff>0</xdr:rowOff>
              </from>
              <to>
                <xdr:col>8</xdr:col>
                <xdr:colOff>790575</xdr:colOff>
                <xdr:row>89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74" r:id="rId242" name="Check Box 330">
          <controlPr defaultSize="0" autoFill="0" autoLine="0" autoPict="0">
            <anchor moveWithCells="1">
              <from>
                <xdr:col>9</xdr:col>
                <xdr:colOff>533400</xdr:colOff>
                <xdr:row>88</xdr:row>
                <xdr:rowOff>0</xdr:rowOff>
              </from>
              <to>
                <xdr:col>9</xdr:col>
                <xdr:colOff>828675</xdr:colOff>
                <xdr:row>89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39" r:id="rId243" name="Check Box 595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40" r:id="rId244" name="Check Box 596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41" r:id="rId245" name="Check Box 597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42" r:id="rId246" name="Check Box 598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43" r:id="rId247" name="Check Box 599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44" r:id="rId248" name="Check Box 600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45" r:id="rId249" name="Check Box 601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46" r:id="rId250" name="Check Box 602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47" r:id="rId251" name="Check Box 603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48" r:id="rId252" name="Check Box 604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49" r:id="rId253" name="Check Box 605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50" r:id="rId254" name="Check Box 606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51" r:id="rId255" name="Check Box 607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52" r:id="rId256" name="Check Box 608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53" r:id="rId257" name="Check Box 609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54" r:id="rId258" name="Check Box 610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55" r:id="rId259" name="Check Box 611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56" r:id="rId260" name="Check Box 612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57" r:id="rId261" name="Check Box 613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58" r:id="rId262" name="Check Box 614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59" r:id="rId263" name="Check Box 615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60" r:id="rId264" name="Check Box 616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61" r:id="rId265" name="Check Box 617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62" r:id="rId266" name="Check Box 618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63" r:id="rId267" name="Check Box 619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64" r:id="rId268" name="Check Box 620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65" r:id="rId269" name="Check Box 621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66" r:id="rId270" name="Check Box 622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67" r:id="rId271" name="Check Box 623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68" r:id="rId272" name="Check Box 624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69" r:id="rId273" name="Check Box 625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70" r:id="rId274" name="Check Box 626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71" r:id="rId275" name="Check Box 627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72" r:id="rId276" name="Check Box 628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73" r:id="rId277" name="Check Box 629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74" r:id="rId278" name="Check Box 630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75" r:id="rId279" name="Check Box 631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76" r:id="rId280" name="Check Box 632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77" r:id="rId281" name="Check Box 633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78" r:id="rId282" name="Check Box 634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79" r:id="rId283" name="Check Box 635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80" r:id="rId284" name="Check Box 636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81" r:id="rId285" name="Check Box 637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82" r:id="rId286" name="Check Box 638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83" r:id="rId287" name="Check Box 639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84" r:id="rId288" name="Check Box 640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85" r:id="rId289" name="Check Box 641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86" r:id="rId290" name="Check Box 642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87" r:id="rId291" name="Check Box 643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88" r:id="rId292" name="Check Box 644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89" r:id="rId293" name="Check Box 645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90" r:id="rId294" name="Check Box 646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91" r:id="rId295" name="Check Box 647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92" r:id="rId296" name="Check Box 648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93" r:id="rId297" name="Check Box 649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94" r:id="rId298" name="Check Box 650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95" r:id="rId299" name="Check Box 651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96" r:id="rId300" name="Check Box 652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97" r:id="rId301" name="Check Box 653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98" r:id="rId302" name="Check Box 654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99" r:id="rId303" name="Check Box 655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00" r:id="rId304" name="Check Box 656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01" r:id="rId305" name="Check Box 657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02" r:id="rId306" name="Check Box 658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03" r:id="rId307" name="Check Box 659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04" r:id="rId308" name="Check Box 660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05" r:id="rId309" name="Check Box 661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06" r:id="rId310" name="Check Box 662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07" r:id="rId311" name="Check Box 663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08" r:id="rId312" name="Check Box 664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09" r:id="rId313" name="Check Box 665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10" r:id="rId314" name="Check Box 666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11" r:id="rId315" name="Check Box 667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12" r:id="rId316" name="Check Box 668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13" r:id="rId317" name="Check Box 669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14" r:id="rId318" name="Check Box 670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15" r:id="rId319" name="Check Box 671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16" r:id="rId320" name="Check Box 672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17" r:id="rId321" name="Check Box 673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18" r:id="rId322" name="Check Box 674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19" r:id="rId323" name="Check Box 675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20" r:id="rId324" name="Check Box 676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21" r:id="rId325" name="Check Box 677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22" r:id="rId326" name="Check Box 678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23" r:id="rId327" name="Check Box 679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24" r:id="rId328" name="Check Box 680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25" r:id="rId329" name="Check Box 681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26" r:id="rId330" name="Check Box 682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27" r:id="rId331" name="Check Box 683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28" r:id="rId332" name="Check Box 684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29" r:id="rId333" name="Check Box 685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30" r:id="rId334" name="Check Box 686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31" r:id="rId335" name="Check Box 687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32" r:id="rId336" name="Check Box 688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33" r:id="rId337" name="Check Box 689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34" r:id="rId338" name="Check Box 690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35" r:id="rId339" name="Check Box 691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36" r:id="rId340" name="Check Box 692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37" r:id="rId341" name="Check Box 693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38" r:id="rId342" name="Check Box 694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39" r:id="rId343" name="Check Box 695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40" r:id="rId344" name="Check Box 696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41" r:id="rId345" name="Check Box 697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42" r:id="rId346" name="Check Box 698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43" r:id="rId347" name="Check Box 699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44" r:id="rId348" name="Check Box 700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45" r:id="rId349" name="Check Box 701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46" r:id="rId350" name="Check Box 702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47" r:id="rId351" name="Check Box 703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48" r:id="rId352" name="Check Box 704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49" r:id="rId353" name="Check Box 705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50" r:id="rId354" name="Check Box 706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51" r:id="rId355" name="Check Box 707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52" r:id="rId356" name="Check Box 708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53" r:id="rId357" name="Check Box 709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54" r:id="rId358" name="Check Box 710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55" r:id="rId359" name="Check Box 711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56" r:id="rId360" name="Check Box 712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57" r:id="rId361" name="Check Box 713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58" r:id="rId362" name="Check Box 714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59" r:id="rId363" name="Check Box 715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60" r:id="rId364" name="Check Box 716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61" r:id="rId365" name="Check Box 717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62" r:id="rId366" name="Check Box 718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63" r:id="rId367" name="Check Box 719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64" r:id="rId368" name="Check Box 720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65" r:id="rId369" name="Check Box 721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66" r:id="rId370" name="Check Box 722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67" r:id="rId371" name="Check Box 723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68" r:id="rId372" name="Check Box 724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69" r:id="rId373" name="Check Box 725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70" r:id="rId374" name="Check Box 726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71" r:id="rId375" name="Check Box 727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72" r:id="rId376" name="Check Box 728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73" r:id="rId377" name="Check Box 729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74" r:id="rId378" name="Check Box 730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75" r:id="rId379" name="Check Box 731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76" r:id="rId380" name="Check Box 732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77" r:id="rId381" name="Check Box 733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78" r:id="rId382" name="Check Box 734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79" r:id="rId383" name="Check Box 735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80" r:id="rId384" name="Check Box 736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81" r:id="rId385" name="Check Box 737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82" r:id="rId386" name="Check Box 738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83" r:id="rId387" name="Check Box 739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84" r:id="rId388" name="Check Box 740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85" r:id="rId389" name="Check Box 741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86" r:id="rId390" name="Check Box 742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87" r:id="rId391" name="Check Box 743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88" r:id="rId392" name="Check Box 744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89" r:id="rId393" name="Check Box 745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90" r:id="rId394" name="Check Box 746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91" r:id="rId395" name="Check Box 747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92" r:id="rId396" name="Check Box 748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93" r:id="rId397" name="Check Box 749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94" r:id="rId398" name="Check Box 750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95" r:id="rId399" name="Check Box 751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96" r:id="rId400" name="Check Box 752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97" r:id="rId401" name="Check Box 753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98" r:id="rId402" name="Check Box 754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899" r:id="rId403" name="Check Box 755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00" r:id="rId404" name="Check Box 756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01" r:id="rId405" name="Check Box 757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02" r:id="rId406" name="Check Box 758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03" r:id="rId407" name="Check Box 759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04" r:id="rId408" name="Check Box 760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05" r:id="rId409" name="Check Box 761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06" r:id="rId410" name="Check Box 762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07" r:id="rId411" name="Check Box 763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08" r:id="rId412" name="Check Box 764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09" r:id="rId413" name="Check Box 765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10" r:id="rId414" name="Check Box 766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11" r:id="rId415" name="Check Box 767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12" r:id="rId416" name="Check Box 768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13" r:id="rId417" name="Check Box 769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14" r:id="rId418" name="Check Box 770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15" r:id="rId419" name="Check Box 771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16" r:id="rId420" name="Check Box 772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17" r:id="rId421" name="Check Box 773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18" r:id="rId422" name="Check Box 774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19" r:id="rId423" name="Check Box 775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20" r:id="rId424" name="Check Box 776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21" r:id="rId425" name="Check Box 777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22" r:id="rId426" name="Check Box 778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23" r:id="rId427" name="Check Box 779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24" r:id="rId428" name="Check Box 780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25" r:id="rId429" name="Check Box 781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26" r:id="rId430" name="Check Box 782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27" r:id="rId431" name="Check Box 783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28" r:id="rId432" name="Check Box 784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29" r:id="rId433" name="Check Box 785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30" r:id="rId434" name="Check Box 786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31" r:id="rId435" name="Check Box 787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32" r:id="rId436" name="Check Box 788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33" r:id="rId437" name="Check Box 789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34" r:id="rId438" name="Check Box 790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35" r:id="rId439" name="Check Box 791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36" r:id="rId440" name="Check Box 792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37" r:id="rId441" name="Check Box 793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38" r:id="rId442" name="Check Box 794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39" r:id="rId443" name="Check Box 795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40" r:id="rId444" name="Check Box 796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41" r:id="rId445" name="Check Box 797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42" r:id="rId446" name="Check Box 798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43" r:id="rId447" name="Check Box 799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44" r:id="rId448" name="Check Box 800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45" r:id="rId449" name="Check Box 801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46" r:id="rId450" name="Check Box 802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47" r:id="rId451" name="Check Box 803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48" r:id="rId452" name="Check Box 804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49" r:id="rId453" name="Check Box 805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50" r:id="rId454" name="Check Box 806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51" r:id="rId455" name="Check Box 807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52" r:id="rId456" name="Check Box 808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53" r:id="rId457" name="Check Box 809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54" r:id="rId458" name="Check Box 810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55" r:id="rId459" name="Check Box 811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56" r:id="rId460" name="Check Box 812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57" r:id="rId461" name="Check Box 813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58" r:id="rId462" name="Check Box 814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59" r:id="rId463" name="Check Box 815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60" r:id="rId464" name="Check Box 816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61" r:id="rId465" name="Check Box 817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62" r:id="rId466" name="Check Box 818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63" r:id="rId467" name="Check Box 819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64" r:id="rId468" name="Check Box 820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65" r:id="rId469" name="Check Box 821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66" r:id="rId470" name="Check Box 822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67" r:id="rId471" name="Check Box 823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68" r:id="rId472" name="Check Box 824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69" r:id="rId473" name="Check Box 825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70" r:id="rId474" name="Check Box 826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71" r:id="rId475" name="Check Box 827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72" r:id="rId476" name="Check Box 828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73" r:id="rId477" name="Check Box 829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74" r:id="rId478" name="Check Box 830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75" r:id="rId479" name="Check Box 831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76" r:id="rId480" name="Check Box 832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77" r:id="rId481" name="Check Box 833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78" r:id="rId482" name="Check Box 834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79" r:id="rId483" name="Check Box 835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80" r:id="rId484" name="Check Box 836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81" r:id="rId485" name="Check Box 837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82" r:id="rId486" name="Check Box 838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83" r:id="rId487" name="Check Box 839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84" r:id="rId488" name="Check Box 840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85" r:id="rId489" name="Check Box 841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86" r:id="rId490" name="Check Box 842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87" r:id="rId491" name="Check Box 843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88" r:id="rId492" name="Check Box 844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89" r:id="rId493" name="Check Box 845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90" r:id="rId494" name="Check Box 846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91" r:id="rId495" name="Check Box 847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92" r:id="rId496" name="Check Box 848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93" r:id="rId497" name="Check Box 849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94" r:id="rId498" name="Check Box 850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95" r:id="rId499" name="Check Box 851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96" r:id="rId500" name="Check Box 852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97" r:id="rId501" name="Check Box 853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98" r:id="rId502" name="Check Box 854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99" r:id="rId503" name="Check Box 855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00" r:id="rId504" name="Check Box 856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01" r:id="rId505" name="Check Box 857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02" r:id="rId506" name="Check Box 858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03" r:id="rId507" name="Check Box 859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04" r:id="rId508" name="Check Box 860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05" r:id="rId509" name="Check Box 861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06" r:id="rId510" name="Check Box 862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07" r:id="rId511" name="Check Box 863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08" r:id="rId512" name="Check Box 864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09" r:id="rId513" name="Check Box 865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10" r:id="rId514" name="Check Box 866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11" r:id="rId515" name="Check Box 867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12" r:id="rId516" name="Check Box 868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13" r:id="rId517" name="Check Box 869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14" r:id="rId518" name="Check Box 870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15" r:id="rId519" name="Check Box 871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16" r:id="rId520" name="Check Box 872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17" r:id="rId521" name="Check Box 873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18" r:id="rId522" name="Check Box 874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19" r:id="rId523" name="Check Box 875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20" r:id="rId524" name="Check Box 876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21" r:id="rId525" name="Check Box 877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22" r:id="rId526" name="Check Box 878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23" r:id="rId527" name="Check Box 879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24" r:id="rId528" name="Check Box 880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25" r:id="rId529" name="Check Box 881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26" r:id="rId530" name="Check Box 882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27" r:id="rId531" name="Check Box 883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28" r:id="rId532" name="Check Box 884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29" r:id="rId533" name="Check Box 885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30" r:id="rId534" name="Check Box 886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31" r:id="rId535" name="Check Box 887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32" r:id="rId536" name="Check Box 888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33" r:id="rId537" name="Check Box 889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34" r:id="rId538" name="Check Box 890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35" r:id="rId539" name="Check Box 891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36" r:id="rId540" name="Check Box 892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37" r:id="rId541" name="Check Box 893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38" r:id="rId542" name="Check Box 894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39" r:id="rId543" name="Check Box 895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40" r:id="rId544" name="Check Box 896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41" r:id="rId545" name="Check Box 897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42" r:id="rId546" name="Check Box 898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43" r:id="rId547" name="Check Box 899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44" r:id="rId548" name="Check Box 900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45" r:id="rId549" name="Check Box 901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46" r:id="rId550" name="Check Box 902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47" r:id="rId551" name="Check Box 903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48" r:id="rId552" name="Check Box 904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49" r:id="rId553" name="Check Box 905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50" r:id="rId554" name="Check Box 906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51" r:id="rId555" name="Check Box 907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52" r:id="rId556" name="Check Box 908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53" r:id="rId557" name="Check Box 909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54" r:id="rId558" name="Check Box 910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55" r:id="rId559" name="Check Box 911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56" r:id="rId560" name="Check Box 912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57" r:id="rId561" name="Check Box 913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58" r:id="rId562" name="Check Box 914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59" r:id="rId563" name="Check Box 915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60" r:id="rId564" name="Check Box 916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61" r:id="rId565" name="Check Box 917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62" r:id="rId566" name="Check Box 918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63" r:id="rId567" name="Check Box 919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64" r:id="rId568" name="Check Box 920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65" r:id="rId569" name="Check Box 921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66" r:id="rId570" name="Check Box 922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67" r:id="rId571" name="Check Box 923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68" r:id="rId572" name="Check Box 924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69" r:id="rId573" name="Check Box 925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70" r:id="rId574" name="Check Box 926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71" r:id="rId575" name="Check Box 927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72" r:id="rId576" name="Check Box 928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73" r:id="rId577" name="Check Box 929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74" r:id="rId578" name="Check Box 930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75" r:id="rId579" name="Check Box 931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76" r:id="rId580" name="Check Box 932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77" r:id="rId581" name="Check Box 933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78" r:id="rId582" name="Check Box 934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79" r:id="rId583" name="Check Box 935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80" r:id="rId584" name="Check Box 936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81" r:id="rId585" name="Check Box 937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82" r:id="rId586" name="Check Box 938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83" r:id="rId587" name="Check Box 939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84" r:id="rId588" name="Check Box 940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85" r:id="rId589" name="Check Box 941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86" r:id="rId590" name="Check Box 942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87" r:id="rId591" name="Check Box 943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88" r:id="rId592" name="Check Box 944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89" r:id="rId593" name="Check Box 945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90" r:id="rId594" name="Check Box 946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91" r:id="rId595" name="Check Box 947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92" r:id="rId596" name="Check Box 948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93" r:id="rId597" name="Check Box 949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94" r:id="rId598" name="Check Box 950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95" r:id="rId599" name="Check Box 951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96" r:id="rId600" name="Check Box 952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97" r:id="rId601" name="Check Box 953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98" r:id="rId602" name="Check Box 954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99" r:id="rId603" name="Check Box 955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00" r:id="rId604" name="Check Box 956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01" r:id="rId605" name="Check Box 957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02" r:id="rId606" name="Check Box 958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03" r:id="rId607" name="Check Box 959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04" r:id="rId608" name="Check Box 960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05" r:id="rId609" name="Check Box 961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06" r:id="rId610" name="Check Box 962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07" r:id="rId611" name="Check Box 963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08" r:id="rId612" name="Check Box 964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09" r:id="rId613" name="Check Box 965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10" r:id="rId614" name="Check Box 966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11" r:id="rId615" name="Check Box 967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12" r:id="rId616" name="Check Box 968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13" r:id="rId617" name="Check Box 969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14" r:id="rId618" name="Check Box 970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15" r:id="rId619" name="Check Box 971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16" r:id="rId620" name="Check Box 972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17" r:id="rId621" name="Check Box 973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18" r:id="rId622" name="Check Box 974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19" r:id="rId623" name="Check Box 975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20" r:id="rId624" name="Check Box 976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21" r:id="rId625" name="Check Box 977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22" r:id="rId626" name="Check Box 978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23" r:id="rId627" name="Check Box 979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24" r:id="rId628" name="Check Box 980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25" r:id="rId629" name="Check Box 981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26" r:id="rId630" name="Check Box 982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27" r:id="rId631" name="Check Box 983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28" r:id="rId632" name="Check Box 984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29" r:id="rId633" name="Check Box 985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30" r:id="rId634" name="Check Box 986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31" r:id="rId635" name="Check Box 987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32" r:id="rId636" name="Check Box 988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33" r:id="rId637" name="Check Box 989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34" r:id="rId638" name="Check Box 990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35" r:id="rId639" name="Check Box 991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36" r:id="rId640" name="Check Box 992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37" r:id="rId641" name="Check Box 993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38" r:id="rId642" name="Check Box 994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39" r:id="rId643" name="Check Box 995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40" r:id="rId644" name="Check Box 996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41" r:id="rId645" name="Check Box 997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42" r:id="rId646" name="Check Box 998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43" r:id="rId647" name="Check Box 999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44" r:id="rId648" name="Check Box 1000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45" r:id="rId649" name="Check Box 1001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46" r:id="rId650" name="Check Box 1002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47" r:id="rId651" name="Check Box 1003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48" r:id="rId652" name="Check Box 1004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49" r:id="rId653" name="Check Box 1005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50" r:id="rId654" name="Check Box 1006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51" r:id="rId655" name="Check Box 1007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52" r:id="rId656" name="Check Box 1008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53" r:id="rId657" name="Check Box 1009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54" r:id="rId658" name="Check Box 1010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55" r:id="rId659" name="Check Box 1011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56" r:id="rId660" name="Check Box 1012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57" r:id="rId661" name="Check Box 1013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58" r:id="rId662" name="Check Box 1014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59" r:id="rId663" name="Check Box 1015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60" r:id="rId664" name="Check Box 1016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61" r:id="rId665" name="Check Box 1017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62" r:id="rId666" name="Check Box 1018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63" r:id="rId667" name="Check Box 1019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64" r:id="rId668" name="Check Box 1020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65" r:id="rId669" name="Check Box 1021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66" r:id="rId670" name="Check Box 1022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67" r:id="rId671" name="Check Box 1023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68" r:id="rId672" name="Check Box 1024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69" r:id="rId673" name="Check Box 1025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0" r:id="rId674" name="Check Box 1026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1" r:id="rId675" name="Check Box 1027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2" r:id="rId676" name="Check Box 1028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3" r:id="rId677" name="Check Box 1029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4" r:id="rId678" name="Check Box 1030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5" r:id="rId679" name="Check Box 1031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6" r:id="rId680" name="Check Box 1032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7" r:id="rId681" name="Check Box 1033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8" r:id="rId682" name="Check Box 1034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9" r:id="rId683" name="Check Box 1035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0" r:id="rId684" name="Check Box 1036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1" r:id="rId685" name="Check Box 1037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2" r:id="rId686" name="Check Box 1038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3" r:id="rId687" name="Check Box 1039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4" r:id="rId688" name="Check Box 1040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5" r:id="rId689" name="Check Box 1041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6" r:id="rId690" name="Check Box 1042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7" r:id="rId691" name="Check Box 1043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8" r:id="rId692" name="Check Box 1044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9" r:id="rId693" name="Check Box 1045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0" r:id="rId694" name="Check Box 1046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1" r:id="rId695" name="Check Box 1047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2" r:id="rId696" name="Check Box 1048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3" r:id="rId697" name="Check Box 1049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4" r:id="rId698" name="Check Box 1050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5" r:id="rId699" name="Check Box 1051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6" r:id="rId700" name="Check Box 1052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7" r:id="rId701" name="Check Box 1053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8" r:id="rId702" name="Check Box 1054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9" r:id="rId703" name="Check Box 1055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00" r:id="rId704" name="Check Box 1056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01" r:id="rId705" name="Check Box 1057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02" r:id="rId706" name="Check Box 1058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03" r:id="rId707" name="Check Box 1059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04" r:id="rId708" name="Check Box 1060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05" r:id="rId709" name="Check Box 1061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06" r:id="rId710" name="Check Box 1062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07" r:id="rId711" name="Check Box 1063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08" r:id="rId712" name="Check Box 1064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09" r:id="rId713" name="Check Box 1065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0" r:id="rId714" name="Check Box 1066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1" r:id="rId715" name="Check Box 1067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2" r:id="rId716" name="Check Box 1068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3" r:id="rId717" name="Check Box 1069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4" r:id="rId718" name="Check Box 1070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5" r:id="rId719" name="Check Box 1071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6" r:id="rId720" name="Check Box 1072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7" r:id="rId721" name="Check Box 1073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8" r:id="rId722" name="Check Box 1074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9" r:id="rId723" name="Check Box 1075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0" r:id="rId724" name="Check Box 1076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1" r:id="rId725" name="Check Box 1077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2" r:id="rId726" name="Check Box 1078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3" r:id="rId727" name="Check Box 1079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4" r:id="rId728" name="Check Box 1080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5" r:id="rId729" name="Check Box 1081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6" r:id="rId730" name="Check Box 1082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7" r:id="rId731" name="Check Box 1083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8" r:id="rId732" name="Check Box 1084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9" r:id="rId733" name="Check Box 1085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0" r:id="rId734" name="Check Box 1086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1" r:id="rId735" name="Check Box 1087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2" r:id="rId736" name="Check Box 1088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3" r:id="rId737" name="Check Box 1089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4" r:id="rId738" name="Check Box 1090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5" r:id="rId739" name="Check Box 1091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6" r:id="rId740" name="Check Box 1092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7" r:id="rId741" name="Check Box 1093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8" r:id="rId742" name="Check Box 1094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9" r:id="rId743" name="Check Box 1095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0" r:id="rId744" name="Check Box 1096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1" r:id="rId745" name="Check Box 1097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2" r:id="rId746" name="Check Box 1098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3" r:id="rId747" name="Check Box 1099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4" r:id="rId748" name="Check Box 1100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5" r:id="rId749" name="Check Box 1101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6" r:id="rId750" name="Check Box 1102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7" r:id="rId751" name="Check Box 1103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8" r:id="rId752" name="Check Box 1104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9" r:id="rId753" name="Check Box 1105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0" r:id="rId754" name="Check Box 1106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1" r:id="rId755" name="Check Box 1107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2" r:id="rId756" name="Check Box 1108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3" r:id="rId757" name="Check Box 1109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4" r:id="rId758" name="Check Box 1110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5" r:id="rId759" name="Check Box 1111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6" r:id="rId760" name="Check Box 1112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7" r:id="rId761" name="Check Box 1113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8" r:id="rId762" name="Check Box 1114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9" r:id="rId763" name="Check Box 1115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0" r:id="rId764" name="Check Box 1116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1" r:id="rId765" name="Check Box 1117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2" r:id="rId766" name="Check Box 1118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3" r:id="rId767" name="Check Box 1119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4" r:id="rId768" name="Check Box 1120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5" r:id="rId769" name="Check Box 1121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6" r:id="rId770" name="Check Box 1122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7" r:id="rId771" name="Check Box 1123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8" r:id="rId772" name="Check Box 1124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9" r:id="rId773" name="Check Box 1125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0" r:id="rId774" name="Check Box 1126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1" r:id="rId775" name="Check Box 1127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2" r:id="rId776" name="Check Box 1128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3" r:id="rId777" name="Check Box 1129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4" r:id="rId778" name="Check Box 1130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5" r:id="rId779" name="Check Box 1131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6" r:id="rId780" name="Check Box 1132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7" r:id="rId781" name="Check Box 1133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8" r:id="rId782" name="Check Box 1134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9" r:id="rId783" name="Check Box 1135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0" r:id="rId784" name="Check Box 1136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1" r:id="rId785" name="Check Box 1137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2" r:id="rId786" name="Check Box 1138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3" r:id="rId787" name="Check Box 1139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4" r:id="rId788" name="Check Box 1140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5" r:id="rId789" name="Check Box 1141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6" r:id="rId790" name="Check Box 1142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7" r:id="rId791" name="Check Box 1143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8" r:id="rId792" name="Check Box 1144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9" r:id="rId793" name="Check Box 1145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90" r:id="rId794" name="Check Box 1146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91" r:id="rId795" name="Check Box 1147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92" r:id="rId796" name="Check Box 1148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93" r:id="rId797" name="Check Box 1149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94" r:id="rId798" name="Check Box 1150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95" r:id="rId799" name="Check Box 1151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96" r:id="rId800" name="Check Box 1152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97" r:id="rId801" name="Check Box 1153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98" r:id="rId802" name="Check Box 1154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99" r:id="rId803" name="Check Box 1155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0" r:id="rId804" name="Check Box 1156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1" r:id="rId805" name="Check Box 1157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2" r:id="rId806" name="Check Box 1158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3" r:id="rId807" name="Check Box 1159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4" r:id="rId808" name="Check Box 1160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5" r:id="rId809" name="Check Box 1161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6" r:id="rId810" name="Check Box 1162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7" r:id="rId811" name="Check Box 1163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8" r:id="rId812" name="Check Box 1164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9" r:id="rId813" name="Check Box 1165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0" r:id="rId814" name="Check Box 1166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1" r:id="rId815" name="Check Box 1167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2" r:id="rId816" name="Check Box 1168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3" r:id="rId817" name="Check Box 1169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4" r:id="rId818" name="Check Box 1170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5" r:id="rId819" name="Check Box 1171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6" r:id="rId820" name="Check Box 1172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7" r:id="rId821" name="Check Box 1173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8" r:id="rId822" name="Check Box 1174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9" r:id="rId823" name="Check Box 1175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0" r:id="rId824" name="Check Box 1176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1" r:id="rId825" name="Check Box 1177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2" r:id="rId826" name="Check Box 1178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3" r:id="rId827" name="Check Box 1179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4" r:id="rId828" name="Check Box 1180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5" r:id="rId829" name="Check Box 1181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6" r:id="rId830" name="Check Box 1182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7" r:id="rId831" name="Check Box 1183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8" r:id="rId832" name="Check Box 1184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9" r:id="rId833" name="Check Box 1185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0" r:id="rId834" name="Check Box 1186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1" r:id="rId835" name="Check Box 1187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2" r:id="rId836" name="Check Box 1188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3" r:id="rId837" name="Check Box 1189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4" r:id="rId838" name="Check Box 1190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5" r:id="rId839" name="Check Box 1191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6" r:id="rId840" name="Check Box 1192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7" r:id="rId841" name="Check Box 1193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8" r:id="rId842" name="Check Box 1194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9" r:id="rId843" name="Check Box 1195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0" r:id="rId844" name="Check Box 1196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1" r:id="rId845" name="Check Box 1197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2" r:id="rId846" name="Check Box 1198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3" r:id="rId847" name="Check Box 1199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4" r:id="rId848" name="Check Box 1200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5" r:id="rId849" name="Check Box 1201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6" r:id="rId850" name="Check Box 1202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7" r:id="rId851" name="Check Box 1203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8" r:id="rId852" name="Check Box 1204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9" r:id="rId853" name="Check Box 1205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50" r:id="rId854" name="Check Box 1206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51" r:id="rId855" name="Check Box 1207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52" r:id="rId856" name="Check Box 1208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53" r:id="rId857" name="Check Box 1209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54" r:id="rId858" name="Check Box 1210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55" r:id="rId859" name="Check Box 1211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56" r:id="rId860" name="Check Box 1212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57" r:id="rId861" name="Check Box 1213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58" r:id="rId862" name="Check Box 1214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59" r:id="rId863" name="Check Box 1215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60" r:id="rId864" name="Check Box 1216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61" r:id="rId865" name="Check Box 1217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62" r:id="rId866" name="Check Box 1218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63" r:id="rId867" name="Check Box 1219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64" r:id="rId868" name="Check Box 1220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65" r:id="rId869" name="Check Box 1221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66" r:id="rId870" name="Check Box 1222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67" r:id="rId871" name="Check Box 1223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68" r:id="rId872" name="Check Box 1224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69" r:id="rId873" name="Check Box 1225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70" r:id="rId874" name="Check Box 1226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71" r:id="rId875" name="Check Box 1227">
          <controlPr defaultSize="0" autoFill="0" autoLine="0" autoPict="0">
            <anchor moveWithCells="1">
              <from>
                <xdr:col>7</xdr:col>
                <xdr:colOff>0</xdr:colOff>
                <xdr:row>155</xdr:row>
                <xdr:rowOff>0</xdr:rowOff>
              </from>
              <to>
                <xdr:col>7</xdr:col>
                <xdr:colOff>295275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72" r:id="rId876" name="Check Box 1228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73" r:id="rId877" name="Check Box 1229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74" r:id="rId878" name="Check Box 1230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76" r:id="rId879" name="Check Box 1232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77" r:id="rId880" name="Check Box 1233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78" r:id="rId881" name="Check Box 1234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80" r:id="rId882" name="Check Box 1236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81" r:id="rId883" name="Check Box 1237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82" r:id="rId884" name="Check Box 1238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84" r:id="rId885" name="Check Box 1240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85" r:id="rId886" name="Check Box 1241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86" r:id="rId887" name="Check Box 1242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88" r:id="rId888" name="Check Box 1244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89" r:id="rId889" name="Check Box 1245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90" r:id="rId890" name="Check Box 1246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92" r:id="rId891" name="Check Box 1248">
          <controlPr defaultSize="0" autoFill="0" autoLine="0" autoPict="0">
            <anchor moveWithCells="1">
              <from>
                <xdr:col>7</xdr:col>
                <xdr:colOff>514350</xdr:colOff>
                <xdr:row>155</xdr:row>
                <xdr:rowOff>0</xdr:rowOff>
              </from>
              <to>
                <xdr:col>7</xdr:col>
                <xdr:colOff>809625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93" r:id="rId892" name="Check Box 1249">
          <controlPr defaultSize="0" autoFill="0" autoLine="0" autoPict="0">
            <anchor moveWithCells="1">
              <from>
                <xdr:col>8</xdr:col>
                <xdr:colOff>495300</xdr:colOff>
                <xdr:row>155</xdr:row>
                <xdr:rowOff>0</xdr:rowOff>
              </from>
              <to>
                <xdr:col>8</xdr:col>
                <xdr:colOff>790575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94" r:id="rId893" name="Check Box 1250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98" r:id="rId894" name="Check Box 1254">
          <controlPr defaultSize="0" autoFill="0" autoLine="0" autoPict="0">
            <anchor moveWithCells="1">
              <from>
                <xdr:col>9</xdr:col>
                <xdr:colOff>533400</xdr:colOff>
                <xdr:row>155</xdr:row>
                <xdr:rowOff>0</xdr:rowOff>
              </from>
              <to>
                <xdr:col>9</xdr:col>
                <xdr:colOff>828675</xdr:colOff>
                <xdr:row>156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27" r:id="rId895" name="Check Box 1283">
          <controlPr defaultSize="0" autoFill="0" autoLine="0" autoPict="0">
            <anchor moveWithCells="1">
              <from>
                <xdr:col>7</xdr:col>
                <xdr:colOff>514350</xdr:colOff>
                <xdr:row>53</xdr:row>
                <xdr:rowOff>0</xdr:rowOff>
              </from>
              <to>
                <xdr:col>7</xdr:col>
                <xdr:colOff>809625</xdr:colOff>
                <xdr:row>54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28" r:id="rId896" name="Check Box 1284">
          <controlPr defaultSize="0" autoFill="0" autoLine="0" autoPict="0">
            <anchor moveWithCells="1">
              <from>
                <xdr:col>8</xdr:col>
                <xdr:colOff>495300</xdr:colOff>
                <xdr:row>53</xdr:row>
                <xdr:rowOff>0</xdr:rowOff>
              </from>
              <to>
                <xdr:col>8</xdr:col>
                <xdr:colOff>790575</xdr:colOff>
                <xdr:row>54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29" r:id="rId897" name="Check Box 1285">
          <controlPr defaultSize="0" autoFill="0" autoLine="0" autoPict="0">
            <anchor moveWithCells="1">
              <from>
                <xdr:col>9</xdr:col>
                <xdr:colOff>533400</xdr:colOff>
                <xdr:row>53</xdr:row>
                <xdr:rowOff>0</xdr:rowOff>
              </from>
              <to>
                <xdr:col>9</xdr:col>
                <xdr:colOff>828675</xdr:colOff>
                <xdr:row>54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31" r:id="rId898" name="Check Box 1287">
          <controlPr defaultSize="0" autoFill="0" autoLine="0" autoPict="0">
            <anchor moveWithCells="1">
              <from>
                <xdr:col>7</xdr:col>
                <xdr:colOff>514350</xdr:colOff>
                <xdr:row>45</xdr:row>
                <xdr:rowOff>0</xdr:rowOff>
              </from>
              <to>
                <xdr:col>7</xdr:col>
                <xdr:colOff>809625</xdr:colOff>
                <xdr:row>46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32" r:id="rId899" name="Check Box 1288">
          <controlPr defaultSize="0" autoFill="0" autoLine="0" autoPict="0">
            <anchor moveWithCells="1">
              <from>
                <xdr:col>8</xdr:col>
                <xdr:colOff>495300</xdr:colOff>
                <xdr:row>45</xdr:row>
                <xdr:rowOff>0</xdr:rowOff>
              </from>
              <to>
                <xdr:col>8</xdr:col>
                <xdr:colOff>790575</xdr:colOff>
                <xdr:row>46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33" r:id="rId900" name="Check Box 1289">
          <controlPr defaultSize="0" autoFill="0" autoLine="0" autoPict="0">
            <anchor moveWithCells="1">
              <from>
                <xdr:col>9</xdr:col>
                <xdr:colOff>533400</xdr:colOff>
                <xdr:row>45</xdr:row>
                <xdr:rowOff>0</xdr:rowOff>
              </from>
              <to>
                <xdr:col>9</xdr:col>
                <xdr:colOff>828675</xdr:colOff>
                <xdr:row>46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34" r:id="rId901" name="Check Box 1290">
          <controlPr defaultSize="0" autoFill="0" autoLine="0" autoPict="0">
            <anchor moveWithCells="1">
              <from>
                <xdr:col>7</xdr:col>
                <xdr:colOff>514350</xdr:colOff>
                <xdr:row>89</xdr:row>
                <xdr:rowOff>0</xdr:rowOff>
              </from>
              <to>
                <xdr:col>7</xdr:col>
                <xdr:colOff>809625</xdr:colOff>
                <xdr:row>90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35" r:id="rId902" name="Check Box 1291">
          <controlPr defaultSize="0" autoFill="0" autoLine="0" autoPict="0">
            <anchor moveWithCells="1">
              <from>
                <xdr:col>7</xdr:col>
                <xdr:colOff>514350</xdr:colOff>
                <xdr:row>90</xdr:row>
                <xdr:rowOff>0</xdr:rowOff>
              </from>
              <to>
                <xdr:col>7</xdr:col>
                <xdr:colOff>809625</xdr:colOff>
                <xdr:row>91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36" r:id="rId903" name="Check Box 1292">
          <controlPr defaultSize="0" autoFill="0" autoLine="0" autoPict="0">
            <anchor moveWithCells="1">
              <from>
                <xdr:col>7</xdr:col>
                <xdr:colOff>514350</xdr:colOff>
                <xdr:row>91</xdr:row>
                <xdr:rowOff>0</xdr:rowOff>
              </from>
              <to>
                <xdr:col>7</xdr:col>
                <xdr:colOff>809625</xdr:colOff>
                <xdr:row>92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37" r:id="rId904" name="Check Box 1293">
          <controlPr defaultSize="0" autoFill="0" autoLine="0" autoPict="0">
            <anchor moveWithCells="1">
              <from>
                <xdr:col>8</xdr:col>
                <xdr:colOff>495300</xdr:colOff>
                <xdr:row>89</xdr:row>
                <xdr:rowOff>0</xdr:rowOff>
              </from>
              <to>
                <xdr:col>8</xdr:col>
                <xdr:colOff>790575</xdr:colOff>
                <xdr:row>90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38" r:id="rId905" name="Check Box 1294">
          <controlPr defaultSize="0" autoFill="0" autoLine="0" autoPict="0">
            <anchor moveWithCells="1">
              <from>
                <xdr:col>8</xdr:col>
                <xdr:colOff>495300</xdr:colOff>
                <xdr:row>90</xdr:row>
                <xdr:rowOff>0</xdr:rowOff>
              </from>
              <to>
                <xdr:col>8</xdr:col>
                <xdr:colOff>790575</xdr:colOff>
                <xdr:row>91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39" r:id="rId906" name="Check Box 1295">
          <controlPr defaultSize="0" autoFill="0" autoLine="0" autoPict="0">
            <anchor moveWithCells="1">
              <from>
                <xdr:col>8</xdr:col>
                <xdr:colOff>495300</xdr:colOff>
                <xdr:row>91</xdr:row>
                <xdr:rowOff>0</xdr:rowOff>
              </from>
              <to>
                <xdr:col>8</xdr:col>
                <xdr:colOff>790575</xdr:colOff>
                <xdr:row>92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40" r:id="rId907" name="Check Box 1296">
          <controlPr defaultSize="0" autoFill="0" autoLine="0" autoPict="0">
            <anchor moveWithCells="1">
              <from>
                <xdr:col>9</xdr:col>
                <xdr:colOff>533400</xdr:colOff>
                <xdr:row>89</xdr:row>
                <xdr:rowOff>0</xdr:rowOff>
              </from>
              <to>
                <xdr:col>9</xdr:col>
                <xdr:colOff>828675</xdr:colOff>
                <xdr:row>90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41" r:id="rId908" name="Check Box 1297">
          <controlPr defaultSize="0" autoFill="0" autoLine="0" autoPict="0">
            <anchor moveWithCells="1">
              <from>
                <xdr:col>9</xdr:col>
                <xdr:colOff>533400</xdr:colOff>
                <xdr:row>90</xdr:row>
                <xdr:rowOff>0</xdr:rowOff>
              </from>
              <to>
                <xdr:col>9</xdr:col>
                <xdr:colOff>828675</xdr:colOff>
                <xdr:row>91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42" r:id="rId909" name="Check Box 1298">
          <controlPr defaultSize="0" autoFill="0" autoLine="0" autoPict="0">
            <anchor moveWithCells="1">
              <from>
                <xdr:col>9</xdr:col>
                <xdr:colOff>533400</xdr:colOff>
                <xdr:row>91</xdr:row>
                <xdr:rowOff>0</xdr:rowOff>
              </from>
              <to>
                <xdr:col>9</xdr:col>
                <xdr:colOff>828675</xdr:colOff>
                <xdr:row>92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43" r:id="rId910" name="Option Button 1299">
          <controlPr defaultSize="0" autoFill="0" autoLine="0" autoPict="0">
            <anchor moveWithCells="1">
              <from>
                <xdr:col>11</xdr:col>
                <xdr:colOff>438150</xdr:colOff>
                <xdr:row>11</xdr:row>
                <xdr:rowOff>47625</xdr:rowOff>
              </from>
              <to>
                <xdr:col>11</xdr:col>
                <xdr:colOff>676275</xdr:colOff>
                <xdr:row>11</xdr:row>
                <xdr:rowOff>257175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44" r:id="rId911" name="Option Button 1300">
          <controlPr defaultSize="0" autoFill="0" autoLine="0" autoPict="0">
            <anchor moveWithCells="1">
              <from>
                <xdr:col>12</xdr:col>
                <xdr:colOff>438150</xdr:colOff>
                <xdr:row>11</xdr:row>
                <xdr:rowOff>57150</xdr:rowOff>
              </from>
              <to>
                <xdr:col>12</xdr:col>
                <xdr:colOff>676275</xdr:colOff>
                <xdr:row>11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45" r:id="rId912" name="Option Button 1301">
          <controlPr defaultSize="0" autoFill="0" autoLine="0" autoPict="0">
            <anchor moveWithCells="1">
              <from>
                <xdr:col>13</xdr:col>
                <xdr:colOff>447675</xdr:colOff>
                <xdr:row>11</xdr:row>
                <xdr:rowOff>57150</xdr:rowOff>
              </from>
              <to>
                <xdr:col>13</xdr:col>
                <xdr:colOff>685800</xdr:colOff>
                <xdr:row>11</xdr:row>
                <xdr:rowOff>266700</xdr:rowOff>
              </to>
            </anchor>
          </controlPr>
        </control>
      </mc:Choice>
    </mc:AlternateContent>
  </controls>
  <tableParts count="1">
    <tablePart r:id="rId91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AF59"/>
  <sheetViews>
    <sheetView topLeftCell="A4" workbookViewId="0">
      <selection activeCell="M23" sqref="M23:V23"/>
    </sheetView>
  </sheetViews>
  <sheetFormatPr defaultRowHeight="15" x14ac:dyDescent="0.25"/>
  <cols>
    <col min="4" max="4" width="13.42578125" customWidth="1"/>
    <col min="10" max="10" width="18.42578125" customWidth="1"/>
    <col min="11" max="11" width="11.42578125" customWidth="1"/>
  </cols>
  <sheetData>
    <row r="1" spans="1:32" ht="15.75" thickBot="1" x14ac:dyDescent="0.3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</row>
    <row r="2" spans="1:32" x14ac:dyDescent="0.25">
      <c r="A2" s="20"/>
      <c r="B2" s="458" t="s">
        <v>66</v>
      </c>
      <c r="C2" s="459"/>
      <c r="D2" s="459"/>
      <c r="E2" s="459"/>
      <c r="F2" s="459"/>
      <c r="G2" s="459"/>
      <c r="H2" s="459"/>
      <c r="I2" s="459"/>
      <c r="J2" s="459"/>
      <c r="K2" s="459"/>
      <c r="L2" s="459"/>
      <c r="M2" s="459"/>
      <c r="N2" s="459"/>
      <c r="O2" s="459"/>
      <c r="P2" s="459"/>
      <c r="Q2" s="459"/>
      <c r="R2" s="459"/>
      <c r="S2" s="459"/>
      <c r="T2" s="459"/>
      <c r="U2" s="459"/>
      <c r="V2" s="460"/>
      <c r="W2" s="20"/>
      <c r="X2" s="20"/>
      <c r="Y2" s="20"/>
      <c r="Z2" s="20"/>
      <c r="AA2" s="20"/>
      <c r="AB2" s="20"/>
      <c r="AC2" s="20"/>
      <c r="AD2" s="20"/>
      <c r="AE2" t="s">
        <v>71</v>
      </c>
      <c r="AF2" t="s">
        <v>78</v>
      </c>
    </row>
    <row r="3" spans="1:32" x14ac:dyDescent="0.25">
      <c r="A3" s="20"/>
      <c r="B3" s="461"/>
      <c r="C3" s="462"/>
      <c r="D3" s="462"/>
      <c r="E3" s="462"/>
      <c r="F3" s="462"/>
      <c r="G3" s="462"/>
      <c r="H3" s="462"/>
      <c r="I3" s="462"/>
      <c r="J3" s="462"/>
      <c r="K3" s="462"/>
      <c r="L3" s="462"/>
      <c r="M3" s="462"/>
      <c r="N3" s="462"/>
      <c r="O3" s="462"/>
      <c r="P3" s="462"/>
      <c r="Q3" s="462"/>
      <c r="R3" s="462"/>
      <c r="S3" s="462"/>
      <c r="T3" s="462"/>
      <c r="U3" s="462"/>
      <c r="V3" s="463"/>
      <c r="W3" s="20"/>
      <c r="X3" s="20"/>
      <c r="Y3" s="20"/>
      <c r="Z3" s="20"/>
      <c r="AA3" s="20"/>
      <c r="AB3" s="20"/>
      <c r="AC3" s="20"/>
      <c r="AD3" s="20"/>
      <c r="AE3" t="s">
        <v>72</v>
      </c>
      <c r="AF3" t="s">
        <v>79</v>
      </c>
    </row>
    <row r="4" spans="1:32" x14ac:dyDescent="0.25">
      <c r="A4" s="20"/>
      <c r="B4" s="496" t="s">
        <v>42</v>
      </c>
      <c r="C4" s="497"/>
      <c r="D4" s="498"/>
      <c r="E4" s="470" t="s">
        <v>68</v>
      </c>
      <c r="F4" s="471"/>
      <c r="G4" s="474" t="s">
        <v>64</v>
      </c>
      <c r="H4" s="475"/>
      <c r="I4" s="478" t="s">
        <v>67</v>
      </c>
      <c r="J4" s="479"/>
      <c r="K4" s="482" t="s">
        <v>69</v>
      </c>
      <c r="L4" s="483"/>
      <c r="M4" s="486" t="s">
        <v>70</v>
      </c>
      <c r="N4" s="487"/>
      <c r="O4" s="487"/>
      <c r="P4" s="487"/>
      <c r="Q4" s="487"/>
      <c r="R4" s="487"/>
      <c r="S4" s="487"/>
      <c r="T4" s="487"/>
      <c r="U4" s="487"/>
      <c r="V4" s="488"/>
      <c r="W4" s="20"/>
      <c r="X4" s="20"/>
      <c r="Y4" s="20"/>
      <c r="Z4" s="20"/>
      <c r="AA4" s="20"/>
      <c r="AB4" s="20"/>
      <c r="AC4" s="20"/>
      <c r="AD4" s="20"/>
      <c r="AE4" t="s">
        <v>73</v>
      </c>
      <c r="AF4" t="s">
        <v>80</v>
      </c>
    </row>
    <row r="5" spans="1:32" x14ac:dyDescent="0.25">
      <c r="A5" s="20"/>
      <c r="B5" s="499"/>
      <c r="C5" s="500"/>
      <c r="D5" s="501"/>
      <c r="E5" s="472"/>
      <c r="F5" s="473"/>
      <c r="G5" s="476"/>
      <c r="H5" s="477"/>
      <c r="I5" s="480"/>
      <c r="J5" s="481"/>
      <c r="K5" s="484"/>
      <c r="L5" s="485"/>
      <c r="M5" s="489"/>
      <c r="N5" s="490"/>
      <c r="O5" s="490"/>
      <c r="P5" s="490"/>
      <c r="Q5" s="490"/>
      <c r="R5" s="490"/>
      <c r="S5" s="490"/>
      <c r="T5" s="490"/>
      <c r="U5" s="490"/>
      <c r="V5" s="491"/>
      <c r="W5" s="20"/>
      <c r="X5" s="20"/>
      <c r="Y5" s="20"/>
      <c r="Z5" s="20"/>
      <c r="AA5" s="20"/>
      <c r="AB5" s="20"/>
      <c r="AC5" s="20"/>
      <c r="AD5" s="20"/>
      <c r="AE5" t="s">
        <v>74</v>
      </c>
      <c r="AF5" t="s">
        <v>81</v>
      </c>
    </row>
    <row r="6" spans="1:32" x14ac:dyDescent="0.25">
      <c r="A6" s="20"/>
      <c r="B6" s="464" t="s">
        <v>207</v>
      </c>
      <c r="C6" s="465"/>
      <c r="D6" s="465"/>
      <c r="E6" s="466" t="s">
        <v>99</v>
      </c>
      <c r="F6" s="466"/>
      <c r="G6" s="467">
        <v>527.92999999999995</v>
      </c>
      <c r="H6" s="467"/>
      <c r="I6" s="465" t="s">
        <v>72</v>
      </c>
      <c r="J6" s="465"/>
      <c r="K6" s="465" t="s">
        <v>78</v>
      </c>
      <c r="L6" s="465"/>
      <c r="M6" s="494" t="s">
        <v>89</v>
      </c>
      <c r="N6" s="494"/>
      <c r="O6" s="494"/>
      <c r="P6" s="494"/>
      <c r="Q6" s="494"/>
      <c r="R6" s="494"/>
      <c r="S6" s="494"/>
      <c r="T6" s="494"/>
      <c r="U6" s="494"/>
      <c r="V6" s="495"/>
      <c r="W6" s="20"/>
      <c r="X6" s="20"/>
      <c r="Y6" s="20"/>
      <c r="Z6" s="20"/>
      <c r="AA6" s="20"/>
      <c r="AB6" s="20"/>
      <c r="AC6" s="20"/>
      <c r="AD6" s="20"/>
      <c r="AE6" t="s">
        <v>75</v>
      </c>
      <c r="AF6" t="s">
        <v>82</v>
      </c>
    </row>
    <row r="7" spans="1:32" x14ac:dyDescent="0.25">
      <c r="A7" s="20"/>
      <c r="B7" s="464" t="s">
        <v>207</v>
      </c>
      <c r="C7" s="465"/>
      <c r="D7" s="465"/>
      <c r="E7" s="466" t="s">
        <v>100</v>
      </c>
      <c r="F7" s="466"/>
      <c r="G7" s="467">
        <v>7938</v>
      </c>
      <c r="H7" s="467"/>
      <c r="I7" s="465" t="s">
        <v>77</v>
      </c>
      <c r="J7" s="465"/>
      <c r="K7" s="465" t="s">
        <v>79</v>
      </c>
      <c r="L7" s="465"/>
      <c r="M7" s="494" t="s">
        <v>208</v>
      </c>
      <c r="N7" s="494"/>
      <c r="O7" s="494"/>
      <c r="P7" s="494"/>
      <c r="Q7" s="494"/>
      <c r="R7" s="494"/>
      <c r="S7" s="494"/>
      <c r="T7" s="494"/>
      <c r="U7" s="494"/>
      <c r="V7" s="495"/>
      <c r="W7" s="20"/>
      <c r="X7" s="20"/>
      <c r="Y7" s="20"/>
      <c r="Z7" s="20"/>
      <c r="AA7" s="20"/>
      <c r="AB7" s="20"/>
      <c r="AC7" s="20"/>
      <c r="AD7" s="20"/>
      <c r="AE7" t="s">
        <v>76</v>
      </c>
      <c r="AF7" t="s">
        <v>83</v>
      </c>
    </row>
    <row r="8" spans="1:32" x14ac:dyDescent="0.25">
      <c r="A8" s="20"/>
      <c r="B8" s="464" t="s">
        <v>207</v>
      </c>
      <c r="C8" s="465"/>
      <c r="D8" s="465"/>
      <c r="E8" s="466" t="s">
        <v>101</v>
      </c>
      <c r="F8" s="466"/>
      <c r="G8" s="467">
        <v>7709</v>
      </c>
      <c r="H8" s="467"/>
      <c r="I8" s="465" t="s">
        <v>77</v>
      </c>
      <c r="J8" s="465"/>
      <c r="K8" s="465" t="s">
        <v>81</v>
      </c>
      <c r="L8" s="465"/>
      <c r="M8" s="494" t="s">
        <v>209</v>
      </c>
      <c r="N8" s="494"/>
      <c r="O8" s="494"/>
      <c r="P8" s="494"/>
      <c r="Q8" s="494"/>
      <c r="R8" s="494"/>
      <c r="S8" s="494"/>
      <c r="T8" s="494"/>
      <c r="U8" s="494"/>
      <c r="V8" s="495"/>
      <c r="W8" s="20"/>
      <c r="X8" s="20"/>
      <c r="Y8" s="20"/>
      <c r="Z8" s="20"/>
      <c r="AA8" s="20"/>
      <c r="AB8" s="20"/>
      <c r="AC8" s="20"/>
      <c r="AD8" s="20"/>
      <c r="AE8" t="s">
        <v>77</v>
      </c>
      <c r="AF8" t="s">
        <v>88</v>
      </c>
    </row>
    <row r="9" spans="1:32" x14ac:dyDescent="0.25">
      <c r="A9" s="20"/>
      <c r="B9" s="464" t="s">
        <v>207</v>
      </c>
      <c r="C9" s="465"/>
      <c r="D9" s="465"/>
      <c r="E9" s="466" t="s">
        <v>102</v>
      </c>
      <c r="F9" s="466"/>
      <c r="G9" s="467">
        <v>999</v>
      </c>
      <c r="H9" s="467"/>
      <c r="I9" s="465" t="s">
        <v>77</v>
      </c>
      <c r="J9" s="465"/>
      <c r="K9" s="465" t="s">
        <v>78</v>
      </c>
      <c r="L9" s="465"/>
      <c r="M9" s="494" t="s">
        <v>90</v>
      </c>
      <c r="N9" s="494"/>
      <c r="O9" s="494"/>
      <c r="P9" s="494"/>
      <c r="Q9" s="494"/>
      <c r="R9" s="494"/>
      <c r="S9" s="494"/>
      <c r="T9" s="494"/>
      <c r="U9" s="494"/>
      <c r="V9" s="495"/>
      <c r="W9" s="20"/>
      <c r="X9" s="20"/>
      <c r="Y9" s="20"/>
      <c r="Z9" s="20"/>
      <c r="AA9" s="20"/>
      <c r="AB9" s="20"/>
      <c r="AC9" s="20"/>
      <c r="AD9" s="20"/>
    </row>
    <row r="10" spans="1:32" x14ac:dyDescent="0.25">
      <c r="A10" s="20"/>
      <c r="B10" s="464" t="s">
        <v>207</v>
      </c>
      <c r="C10" s="465"/>
      <c r="D10" s="465"/>
      <c r="E10" s="466" t="s">
        <v>103</v>
      </c>
      <c r="F10" s="466"/>
      <c r="G10" s="467">
        <v>1790</v>
      </c>
      <c r="H10" s="467"/>
      <c r="I10" s="465" t="s">
        <v>76</v>
      </c>
      <c r="J10" s="465"/>
      <c r="K10" s="465" t="s">
        <v>88</v>
      </c>
      <c r="L10" s="465"/>
      <c r="M10" s="494" t="s">
        <v>210</v>
      </c>
      <c r="N10" s="494"/>
      <c r="O10" s="494"/>
      <c r="P10" s="494"/>
      <c r="Q10" s="494"/>
      <c r="R10" s="494"/>
      <c r="S10" s="494"/>
      <c r="T10" s="494"/>
      <c r="U10" s="494"/>
      <c r="V10" s="495"/>
      <c r="W10" s="20"/>
      <c r="X10" s="20"/>
      <c r="Y10" s="20"/>
      <c r="Z10" s="20"/>
      <c r="AA10" s="20"/>
      <c r="AB10" s="20"/>
      <c r="AC10" s="20"/>
      <c r="AD10" s="20"/>
    </row>
    <row r="11" spans="1:32" x14ac:dyDescent="0.25">
      <c r="A11" s="20"/>
      <c r="B11" s="464" t="s">
        <v>207</v>
      </c>
      <c r="C11" s="465"/>
      <c r="D11" s="465"/>
      <c r="E11" s="466" t="s">
        <v>104</v>
      </c>
      <c r="F11" s="466"/>
      <c r="G11" s="467">
        <v>978.5</v>
      </c>
      <c r="H11" s="467"/>
      <c r="I11" s="465" t="s">
        <v>75</v>
      </c>
      <c r="J11" s="465"/>
      <c r="K11" s="465"/>
      <c r="L11" s="465"/>
      <c r="M11" s="494" t="s">
        <v>202</v>
      </c>
      <c r="N11" s="494"/>
      <c r="O11" s="494"/>
      <c r="P11" s="494"/>
      <c r="Q11" s="494"/>
      <c r="R11" s="494"/>
      <c r="S11" s="494"/>
      <c r="T11" s="494"/>
      <c r="U11" s="494"/>
      <c r="V11" s="495"/>
      <c r="W11" s="20"/>
      <c r="X11" s="20"/>
      <c r="Y11" s="20"/>
      <c r="Z11" s="20"/>
      <c r="AA11" s="20"/>
      <c r="AB11" s="20"/>
      <c r="AC11" s="20"/>
      <c r="AD11" s="20"/>
    </row>
    <row r="12" spans="1:32" x14ac:dyDescent="0.25">
      <c r="A12" s="20"/>
      <c r="B12" s="464" t="s">
        <v>207</v>
      </c>
      <c r="C12" s="465"/>
      <c r="D12" s="465"/>
      <c r="E12" s="466" t="s">
        <v>105</v>
      </c>
      <c r="F12" s="466"/>
      <c r="G12" s="467">
        <v>618</v>
      </c>
      <c r="H12" s="467"/>
      <c r="I12" s="465" t="s">
        <v>76</v>
      </c>
      <c r="J12" s="465"/>
      <c r="K12" s="465" t="s">
        <v>88</v>
      </c>
      <c r="L12" s="465"/>
      <c r="M12" s="494" t="s">
        <v>106</v>
      </c>
      <c r="N12" s="494"/>
      <c r="O12" s="494"/>
      <c r="P12" s="494"/>
      <c r="Q12" s="494"/>
      <c r="R12" s="494"/>
      <c r="S12" s="494"/>
      <c r="T12" s="494"/>
      <c r="U12" s="494"/>
      <c r="V12" s="495"/>
      <c r="W12" s="20"/>
      <c r="X12" s="20"/>
      <c r="Y12" s="20"/>
      <c r="Z12" s="20"/>
      <c r="AA12" s="20"/>
      <c r="AB12" s="20"/>
      <c r="AC12" s="20"/>
      <c r="AD12" s="20"/>
    </row>
    <row r="13" spans="1:32" x14ac:dyDescent="0.25">
      <c r="A13" s="20"/>
      <c r="B13" s="464" t="s">
        <v>207</v>
      </c>
      <c r="C13" s="465"/>
      <c r="D13" s="465"/>
      <c r="E13" s="466" t="s">
        <v>124</v>
      </c>
      <c r="F13" s="466"/>
      <c r="G13" s="467">
        <v>3439</v>
      </c>
      <c r="H13" s="467"/>
      <c r="I13" s="465" t="s">
        <v>76</v>
      </c>
      <c r="J13" s="465"/>
      <c r="K13" s="465" t="s">
        <v>88</v>
      </c>
      <c r="L13" s="465"/>
      <c r="M13" s="494" t="s">
        <v>125</v>
      </c>
      <c r="N13" s="494"/>
      <c r="O13" s="494"/>
      <c r="P13" s="494"/>
      <c r="Q13" s="494"/>
      <c r="R13" s="494"/>
      <c r="S13" s="494"/>
      <c r="T13" s="494"/>
      <c r="U13" s="494"/>
      <c r="V13" s="495"/>
      <c r="W13" s="20"/>
      <c r="X13" s="20"/>
      <c r="Y13" s="20"/>
      <c r="Z13" s="20"/>
      <c r="AA13" s="20"/>
      <c r="AB13" s="20"/>
      <c r="AC13" s="20"/>
      <c r="AD13" s="20"/>
    </row>
    <row r="14" spans="1:32" x14ac:dyDescent="0.25">
      <c r="A14" s="20"/>
      <c r="B14" s="464" t="s">
        <v>207</v>
      </c>
      <c r="C14" s="465"/>
      <c r="D14" s="465"/>
      <c r="E14" s="466" t="s">
        <v>138</v>
      </c>
      <c r="F14" s="466"/>
      <c r="G14" s="467">
        <v>8578</v>
      </c>
      <c r="H14" s="467"/>
      <c r="I14" s="465" t="s">
        <v>77</v>
      </c>
      <c r="J14" s="465"/>
      <c r="K14" s="465"/>
      <c r="L14" s="465"/>
      <c r="M14" s="494" t="s">
        <v>139</v>
      </c>
      <c r="N14" s="494"/>
      <c r="O14" s="494"/>
      <c r="P14" s="494"/>
      <c r="Q14" s="494"/>
      <c r="R14" s="494"/>
      <c r="S14" s="494"/>
      <c r="T14" s="494"/>
      <c r="U14" s="494"/>
      <c r="V14" s="495"/>
      <c r="W14" s="20"/>
      <c r="X14" s="20"/>
      <c r="Y14" s="20"/>
      <c r="Z14" s="20"/>
      <c r="AA14" s="20"/>
      <c r="AB14" s="20"/>
      <c r="AC14" s="20"/>
      <c r="AD14" s="20"/>
    </row>
    <row r="15" spans="1:32" x14ac:dyDescent="0.25">
      <c r="A15" s="20"/>
      <c r="B15" s="464" t="s">
        <v>207</v>
      </c>
      <c r="C15" s="465"/>
      <c r="D15" s="465"/>
      <c r="E15" s="466" t="s">
        <v>140</v>
      </c>
      <c r="F15" s="466"/>
      <c r="G15" s="467">
        <v>3288.77</v>
      </c>
      <c r="H15" s="467"/>
      <c r="I15" s="465" t="s">
        <v>72</v>
      </c>
      <c r="J15" s="465"/>
      <c r="K15" s="465" t="s">
        <v>79</v>
      </c>
      <c r="L15" s="465"/>
      <c r="M15" s="494" t="s">
        <v>144</v>
      </c>
      <c r="N15" s="494"/>
      <c r="O15" s="494"/>
      <c r="P15" s="494"/>
      <c r="Q15" s="494"/>
      <c r="R15" s="494"/>
      <c r="S15" s="494"/>
      <c r="T15" s="494"/>
      <c r="U15" s="494"/>
      <c r="V15" s="495"/>
      <c r="W15" s="20"/>
      <c r="X15" s="20"/>
      <c r="Y15" s="20"/>
      <c r="Z15" s="20"/>
      <c r="AA15" s="20"/>
      <c r="AB15" s="20"/>
      <c r="AC15" s="20"/>
      <c r="AD15" s="20"/>
    </row>
    <row r="16" spans="1:32" x14ac:dyDescent="0.25">
      <c r="A16" s="20"/>
      <c r="B16" s="464" t="s">
        <v>207</v>
      </c>
      <c r="C16" s="465"/>
      <c r="D16" s="465"/>
      <c r="E16" s="466" t="s">
        <v>141</v>
      </c>
      <c r="F16" s="466"/>
      <c r="G16" s="467">
        <v>3185.77</v>
      </c>
      <c r="H16" s="467"/>
      <c r="I16" s="465" t="s">
        <v>72</v>
      </c>
      <c r="J16" s="465"/>
      <c r="K16" s="465" t="s">
        <v>79</v>
      </c>
      <c r="L16" s="465"/>
      <c r="M16" s="494" t="s">
        <v>144</v>
      </c>
      <c r="N16" s="494"/>
      <c r="O16" s="494"/>
      <c r="P16" s="494"/>
      <c r="Q16" s="494"/>
      <c r="R16" s="494"/>
      <c r="S16" s="494"/>
      <c r="T16" s="494"/>
      <c r="U16" s="494"/>
      <c r="V16" s="495"/>
      <c r="W16" s="20"/>
      <c r="X16" s="20"/>
      <c r="Y16" s="20"/>
      <c r="Z16" s="20"/>
      <c r="AA16" s="20"/>
      <c r="AB16" s="20"/>
      <c r="AC16" s="20"/>
      <c r="AD16" s="20"/>
    </row>
    <row r="17" spans="1:30" x14ac:dyDescent="0.25">
      <c r="A17" s="20"/>
      <c r="B17" s="464" t="s">
        <v>207</v>
      </c>
      <c r="C17" s="465"/>
      <c r="D17" s="465"/>
      <c r="E17" s="466" t="s">
        <v>142</v>
      </c>
      <c r="F17" s="466"/>
      <c r="G17" s="467">
        <v>3185.77</v>
      </c>
      <c r="H17" s="467"/>
      <c r="I17" s="465" t="s">
        <v>72</v>
      </c>
      <c r="J17" s="465"/>
      <c r="K17" s="465" t="s">
        <v>79</v>
      </c>
      <c r="L17" s="465"/>
      <c r="M17" s="494" t="s">
        <v>144</v>
      </c>
      <c r="N17" s="494"/>
      <c r="O17" s="494"/>
      <c r="P17" s="494"/>
      <c r="Q17" s="494"/>
      <c r="R17" s="494"/>
      <c r="S17" s="494"/>
      <c r="T17" s="494"/>
      <c r="U17" s="494"/>
      <c r="V17" s="495"/>
      <c r="W17" s="20"/>
      <c r="X17" s="20"/>
      <c r="Y17" s="20"/>
      <c r="Z17" s="20"/>
      <c r="AA17" s="20"/>
      <c r="AB17" s="20"/>
      <c r="AC17" s="20"/>
      <c r="AD17" s="20"/>
    </row>
    <row r="18" spans="1:30" x14ac:dyDescent="0.25">
      <c r="A18" s="20"/>
      <c r="B18" s="464" t="s">
        <v>207</v>
      </c>
      <c r="C18" s="465"/>
      <c r="D18" s="465"/>
      <c r="E18" s="466" t="s">
        <v>143</v>
      </c>
      <c r="F18" s="466"/>
      <c r="G18" s="467">
        <v>2522.46</v>
      </c>
      <c r="H18" s="467"/>
      <c r="I18" s="465" t="s">
        <v>72</v>
      </c>
      <c r="J18" s="465"/>
      <c r="K18" s="465" t="s">
        <v>79</v>
      </c>
      <c r="L18" s="465"/>
      <c r="M18" s="494" t="s">
        <v>144</v>
      </c>
      <c r="N18" s="494"/>
      <c r="O18" s="494"/>
      <c r="P18" s="494"/>
      <c r="Q18" s="494"/>
      <c r="R18" s="494"/>
      <c r="S18" s="494"/>
      <c r="T18" s="494"/>
      <c r="U18" s="494"/>
      <c r="V18" s="495"/>
      <c r="W18" s="20"/>
      <c r="X18" s="20"/>
      <c r="Y18" s="20"/>
      <c r="Z18" s="20"/>
      <c r="AA18" s="20"/>
      <c r="AB18" s="20"/>
      <c r="AC18" s="20"/>
      <c r="AD18" s="20"/>
    </row>
    <row r="19" spans="1:30" x14ac:dyDescent="0.25">
      <c r="A19" s="20"/>
      <c r="B19" s="464" t="s">
        <v>207</v>
      </c>
      <c r="C19" s="465"/>
      <c r="D19" s="465"/>
      <c r="E19" s="466"/>
      <c r="F19" s="466"/>
      <c r="G19" s="467">
        <v>150</v>
      </c>
      <c r="H19" s="467"/>
      <c r="I19" s="465" t="s">
        <v>72</v>
      </c>
      <c r="J19" s="465"/>
      <c r="K19" s="465"/>
      <c r="L19" s="465"/>
      <c r="M19" s="494" t="s">
        <v>192</v>
      </c>
      <c r="N19" s="494"/>
      <c r="O19" s="494"/>
      <c r="P19" s="494"/>
      <c r="Q19" s="494"/>
      <c r="R19" s="494"/>
      <c r="S19" s="494"/>
      <c r="T19" s="494"/>
      <c r="U19" s="494"/>
      <c r="V19" s="495"/>
      <c r="W19" s="20"/>
      <c r="X19" s="20"/>
      <c r="Y19" s="20"/>
      <c r="Z19" s="20"/>
      <c r="AA19" s="20"/>
      <c r="AB19" s="20"/>
      <c r="AC19" s="20"/>
      <c r="AD19" s="20"/>
    </row>
    <row r="20" spans="1:30" x14ac:dyDescent="0.25">
      <c r="A20" s="20"/>
      <c r="B20" s="464" t="s">
        <v>207</v>
      </c>
      <c r="C20" s="465"/>
      <c r="D20" s="465"/>
      <c r="E20" s="466" t="s">
        <v>186</v>
      </c>
      <c r="F20" s="466"/>
      <c r="G20" s="467">
        <v>799</v>
      </c>
      <c r="H20" s="467"/>
      <c r="I20" s="465" t="s">
        <v>72</v>
      </c>
      <c r="J20" s="465"/>
      <c r="K20" s="465"/>
      <c r="L20" s="465"/>
      <c r="M20" s="494" t="s">
        <v>187</v>
      </c>
      <c r="N20" s="494"/>
      <c r="O20" s="494"/>
      <c r="P20" s="494"/>
      <c r="Q20" s="494"/>
      <c r="R20" s="494"/>
      <c r="S20" s="494"/>
      <c r="T20" s="494"/>
      <c r="U20" s="494"/>
      <c r="V20" s="495"/>
      <c r="W20" s="20"/>
      <c r="X20" s="20"/>
      <c r="Y20" s="20"/>
      <c r="Z20" s="20"/>
      <c r="AA20" s="20"/>
      <c r="AB20" s="20"/>
      <c r="AC20" s="20"/>
      <c r="AD20" s="20"/>
    </row>
    <row r="21" spans="1:30" x14ac:dyDescent="0.25">
      <c r="A21" s="20"/>
      <c r="B21" s="464" t="s">
        <v>207</v>
      </c>
      <c r="C21" s="465"/>
      <c r="D21" s="465"/>
      <c r="E21" s="466" t="s">
        <v>189</v>
      </c>
      <c r="F21" s="466"/>
      <c r="G21" s="467">
        <v>3600</v>
      </c>
      <c r="H21" s="467"/>
      <c r="I21" s="465" t="s">
        <v>77</v>
      </c>
      <c r="J21" s="465"/>
      <c r="K21" s="465" t="s">
        <v>78</v>
      </c>
      <c r="L21" s="465"/>
      <c r="M21" s="494" t="s">
        <v>188</v>
      </c>
      <c r="N21" s="494"/>
      <c r="O21" s="494"/>
      <c r="P21" s="494"/>
      <c r="Q21" s="494"/>
      <c r="R21" s="494"/>
      <c r="S21" s="494"/>
      <c r="T21" s="494"/>
      <c r="U21" s="494"/>
      <c r="V21" s="495"/>
      <c r="W21" s="20"/>
      <c r="X21" s="20"/>
      <c r="Y21" s="20"/>
      <c r="Z21" s="20"/>
      <c r="AA21" s="20"/>
      <c r="AB21" s="20"/>
      <c r="AC21" s="20"/>
      <c r="AD21" s="20"/>
    </row>
    <row r="22" spans="1:30" x14ac:dyDescent="0.25">
      <c r="A22" s="20"/>
      <c r="B22" s="464" t="s">
        <v>207</v>
      </c>
      <c r="C22" s="465"/>
      <c r="D22" s="465"/>
      <c r="E22" s="466"/>
      <c r="F22" s="466"/>
      <c r="G22" s="467">
        <v>1904.47</v>
      </c>
      <c r="H22" s="467"/>
      <c r="I22" s="465" t="s">
        <v>76</v>
      </c>
      <c r="J22" s="465"/>
      <c r="K22" s="465" t="s">
        <v>88</v>
      </c>
      <c r="L22" s="465"/>
      <c r="M22" s="494" t="s">
        <v>193</v>
      </c>
      <c r="N22" s="494"/>
      <c r="O22" s="494"/>
      <c r="P22" s="494"/>
      <c r="Q22" s="494"/>
      <c r="R22" s="494"/>
      <c r="S22" s="494"/>
      <c r="T22" s="494"/>
      <c r="U22" s="494"/>
      <c r="V22" s="495"/>
      <c r="W22" s="20"/>
      <c r="X22" s="20"/>
      <c r="Y22" s="20"/>
      <c r="Z22" s="20"/>
      <c r="AA22" s="20"/>
      <c r="AB22" s="20"/>
      <c r="AC22" s="20"/>
      <c r="AD22" s="20"/>
    </row>
    <row r="23" spans="1:30" x14ac:dyDescent="0.25">
      <c r="A23" s="20"/>
      <c r="B23" s="464" t="s">
        <v>207</v>
      </c>
      <c r="C23" s="465"/>
      <c r="D23" s="465"/>
      <c r="E23" s="466"/>
      <c r="F23" s="466"/>
      <c r="G23" s="467">
        <v>1904.47</v>
      </c>
      <c r="H23" s="467"/>
      <c r="I23" s="465" t="s">
        <v>76</v>
      </c>
      <c r="J23" s="465"/>
      <c r="K23" s="465" t="s">
        <v>88</v>
      </c>
      <c r="L23" s="465"/>
      <c r="M23" s="494" t="s">
        <v>194</v>
      </c>
      <c r="N23" s="494"/>
      <c r="O23" s="494"/>
      <c r="P23" s="494"/>
      <c r="Q23" s="494"/>
      <c r="R23" s="494"/>
      <c r="S23" s="494"/>
      <c r="T23" s="494"/>
      <c r="U23" s="494"/>
      <c r="V23" s="495"/>
      <c r="W23" s="20"/>
      <c r="X23" s="20"/>
      <c r="Y23" s="20"/>
      <c r="Z23" s="20"/>
      <c r="AA23" s="20"/>
      <c r="AB23" s="20"/>
      <c r="AC23" s="20"/>
      <c r="AD23" s="20"/>
    </row>
    <row r="24" spans="1:30" x14ac:dyDescent="0.25">
      <c r="A24" s="20"/>
      <c r="B24" s="464"/>
      <c r="C24" s="465"/>
      <c r="D24" s="465"/>
      <c r="E24" s="466"/>
      <c r="F24" s="466"/>
      <c r="G24" s="467"/>
      <c r="H24" s="467"/>
      <c r="I24" s="465"/>
      <c r="J24" s="465"/>
      <c r="K24" s="465"/>
      <c r="L24" s="465"/>
      <c r="M24" s="494"/>
      <c r="N24" s="494"/>
      <c r="O24" s="494"/>
      <c r="P24" s="494"/>
      <c r="Q24" s="494"/>
      <c r="R24" s="494"/>
      <c r="S24" s="494"/>
      <c r="T24" s="494"/>
      <c r="U24" s="494"/>
      <c r="V24" s="495"/>
      <c r="W24" s="20"/>
      <c r="X24" s="20"/>
      <c r="Y24" s="20"/>
      <c r="Z24" s="20"/>
      <c r="AA24" s="20"/>
      <c r="AB24" s="20"/>
      <c r="AC24" s="20"/>
      <c r="AD24" s="20"/>
    </row>
    <row r="25" spans="1:30" x14ac:dyDescent="0.25">
      <c r="A25" s="20"/>
      <c r="B25" s="464"/>
      <c r="C25" s="465"/>
      <c r="D25" s="465"/>
      <c r="E25" s="466"/>
      <c r="F25" s="466"/>
      <c r="G25" s="467"/>
      <c r="H25" s="467"/>
      <c r="I25" s="465"/>
      <c r="J25" s="465"/>
      <c r="K25" s="465"/>
      <c r="L25" s="465"/>
      <c r="M25" s="494"/>
      <c r="N25" s="494"/>
      <c r="O25" s="494"/>
      <c r="P25" s="494"/>
      <c r="Q25" s="494"/>
      <c r="R25" s="494"/>
      <c r="S25" s="494"/>
      <c r="T25" s="494"/>
      <c r="U25" s="494"/>
      <c r="V25" s="495"/>
      <c r="W25" s="20"/>
      <c r="X25" s="20"/>
      <c r="Y25" s="20"/>
      <c r="Z25" s="20"/>
      <c r="AA25" s="20"/>
      <c r="AB25" s="20"/>
      <c r="AC25" s="20"/>
      <c r="AD25" s="20"/>
    </row>
    <row r="26" spans="1:30" x14ac:dyDescent="0.25">
      <c r="A26" s="20"/>
      <c r="B26" s="464"/>
      <c r="C26" s="465"/>
      <c r="D26" s="465"/>
      <c r="E26" s="466"/>
      <c r="F26" s="466"/>
      <c r="G26" s="467"/>
      <c r="H26" s="467"/>
      <c r="I26" s="465"/>
      <c r="J26" s="465"/>
      <c r="K26" s="465"/>
      <c r="L26" s="465"/>
      <c r="M26" s="494"/>
      <c r="N26" s="494"/>
      <c r="O26" s="494"/>
      <c r="P26" s="494"/>
      <c r="Q26" s="494"/>
      <c r="R26" s="494"/>
      <c r="S26" s="494"/>
      <c r="T26" s="494"/>
      <c r="U26" s="494"/>
      <c r="V26" s="495"/>
      <c r="W26" s="20"/>
      <c r="X26" s="20"/>
      <c r="Y26" s="20"/>
      <c r="Z26" s="20"/>
      <c r="AA26" s="20"/>
      <c r="AB26" s="20"/>
      <c r="AC26" s="20"/>
      <c r="AD26" s="20"/>
    </row>
    <row r="27" spans="1:30" x14ac:dyDescent="0.25">
      <c r="A27" s="20"/>
      <c r="B27" s="464"/>
      <c r="C27" s="465"/>
      <c r="D27" s="465"/>
      <c r="E27" s="466"/>
      <c r="F27" s="466"/>
      <c r="G27" s="467"/>
      <c r="H27" s="467"/>
      <c r="I27" s="465"/>
      <c r="J27" s="465"/>
      <c r="K27" s="465"/>
      <c r="L27" s="465"/>
      <c r="M27" s="494"/>
      <c r="N27" s="494"/>
      <c r="O27" s="494"/>
      <c r="P27" s="494"/>
      <c r="Q27" s="494"/>
      <c r="R27" s="494"/>
      <c r="S27" s="494"/>
      <c r="T27" s="494"/>
      <c r="U27" s="494"/>
      <c r="V27" s="495"/>
      <c r="W27" s="20"/>
      <c r="X27" s="20"/>
      <c r="Y27" s="20"/>
      <c r="Z27" s="20"/>
      <c r="AA27" s="20"/>
      <c r="AB27" s="20"/>
      <c r="AC27" s="20"/>
      <c r="AD27" s="20"/>
    </row>
    <row r="28" spans="1:30" x14ac:dyDescent="0.25">
      <c r="A28" s="20"/>
      <c r="B28" s="464"/>
      <c r="C28" s="465"/>
      <c r="D28" s="465"/>
      <c r="E28" s="466"/>
      <c r="F28" s="466"/>
      <c r="G28" s="467"/>
      <c r="H28" s="467"/>
      <c r="I28" s="465"/>
      <c r="J28" s="465"/>
      <c r="K28" s="465"/>
      <c r="L28" s="465"/>
      <c r="M28" s="494"/>
      <c r="N28" s="494"/>
      <c r="O28" s="494"/>
      <c r="P28" s="494"/>
      <c r="Q28" s="494"/>
      <c r="R28" s="494"/>
      <c r="S28" s="494"/>
      <c r="T28" s="494"/>
      <c r="U28" s="494"/>
      <c r="V28" s="495"/>
      <c r="W28" s="20"/>
      <c r="X28" s="20"/>
      <c r="Y28" s="20"/>
      <c r="Z28" s="20"/>
      <c r="AA28" s="20"/>
      <c r="AB28" s="20"/>
      <c r="AC28" s="20"/>
      <c r="AD28" s="20"/>
    </row>
    <row r="29" spans="1:30" x14ac:dyDescent="0.25">
      <c r="A29" s="20"/>
      <c r="B29" s="464"/>
      <c r="C29" s="465"/>
      <c r="D29" s="465"/>
      <c r="E29" s="466"/>
      <c r="F29" s="466"/>
      <c r="G29" s="467"/>
      <c r="H29" s="467"/>
      <c r="I29" s="465"/>
      <c r="J29" s="465"/>
      <c r="K29" s="465"/>
      <c r="L29" s="465"/>
      <c r="M29" s="494"/>
      <c r="N29" s="494"/>
      <c r="O29" s="494"/>
      <c r="P29" s="494"/>
      <c r="Q29" s="494"/>
      <c r="R29" s="494"/>
      <c r="S29" s="494"/>
      <c r="T29" s="494"/>
      <c r="U29" s="494"/>
      <c r="V29" s="495"/>
      <c r="W29" s="20"/>
      <c r="X29" s="20"/>
      <c r="Y29" s="20"/>
      <c r="Z29" s="20"/>
      <c r="AA29" s="20"/>
      <c r="AB29" s="20"/>
      <c r="AC29" s="20"/>
      <c r="AD29" s="20"/>
    </row>
    <row r="30" spans="1:30" x14ac:dyDescent="0.25">
      <c r="A30" s="20"/>
      <c r="B30" s="464"/>
      <c r="C30" s="465"/>
      <c r="D30" s="465"/>
      <c r="E30" s="466"/>
      <c r="F30" s="466"/>
      <c r="G30" s="467"/>
      <c r="H30" s="467"/>
      <c r="I30" s="465"/>
      <c r="J30" s="465"/>
      <c r="K30" s="465"/>
      <c r="L30" s="465"/>
      <c r="M30" s="494"/>
      <c r="N30" s="494"/>
      <c r="O30" s="494"/>
      <c r="P30" s="494"/>
      <c r="Q30" s="494"/>
      <c r="R30" s="494"/>
      <c r="S30" s="494"/>
      <c r="T30" s="494"/>
      <c r="U30" s="494"/>
      <c r="V30" s="495"/>
      <c r="W30" s="20"/>
      <c r="X30" s="20"/>
      <c r="Y30" s="20"/>
      <c r="Z30" s="20"/>
      <c r="AA30" s="20"/>
      <c r="AB30" s="20"/>
      <c r="AC30" s="20"/>
      <c r="AD30" s="20"/>
    </row>
    <row r="31" spans="1:30" x14ac:dyDescent="0.25">
      <c r="A31" s="20"/>
      <c r="B31" s="464"/>
      <c r="C31" s="465"/>
      <c r="D31" s="465"/>
      <c r="E31" s="466"/>
      <c r="F31" s="466"/>
      <c r="G31" s="467"/>
      <c r="H31" s="467"/>
      <c r="I31" s="465"/>
      <c r="J31" s="465"/>
      <c r="K31" s="465"/>
      <c r="L31" s="465"/>
      <c r="M31" s="494"/>
      <c r="N31" s="494"/>
      <c r="O31" s="494"/>
      <c r="P31" s="494"/>
      <c r="Q31" s="494"/>
      <c r="R31" s="494"/>
      <c r="S31" s="494"/>
      <c r="T31" s="494"/>
      <c r="U31" s="494"/>
      <c r="V31" s="495"/>
      <c r="W31" s="20"/>
      <c r="X31" s="20"/>
      <c r="Y31" s="20"/>
      <c r="Z31" s="20"/>
      <c r="AA31" s="20"/>
      <c r="AB31" s="20"/>
      <c r="AC31" s="20"/>
      <c r="AD31" s="20"/>
    </row>
    <row r="32" spans="1:30" x14ac:dyDescent="0.25">
      <c r="A32" s="20"/>
      <c r="B32" s="464"/>
      <c r="C32" s="465"/>
      <c r="D32" s="465"/>
      <c r="E32" s="466"/>
      <c r="F32" s="466"/>
      <c r="G32" s="467"/>
      <c r="H32" s="467"/>
      <c r="I32" s="465"/>
      <c r="J32" s="465"/>
      <c r="K32" s="465"/>
      <c r="L32" s="465"/>
      <c r="M32" s="494"/>
      <c r="N32" s="494"/>
      <c r="O32" s="494"/>
      <c r="P32" s="494"/>
      <c r="Q32" s="494"/>
      <c r="R32" s="494"/>
      <c r="S32" s="494"/>
      <c r="T32" s="494"/>
      <c r="U32" s="494"/>
      <c r="V32" s="495"/>
      <c r="W32" s="20"/>
      <c r="X32" s="20"/>
      <c r="Y32" s="20"/>
      <c r="Z32" s="20"/>
      <c r="AA32" s="20"/>
      <c r="AB32" s="20"/>
      <c r="AC32" s="20"/>
      <c r="AD32" s="20"/>
    </row>
    <row r="33" spans="1:30" ht="15.75" thickBot="1" x14ac:dyDescent="0.3">
      <c r="A33" s="20"/>
      <c r="B33" s="468"/>
      <c r="C33" s="469"/>
      <c r="D33" s="469"/>
      <c r="E33" s="492"/>
      <c r="F33" s="492"/>
      <c r="G33" s="493"/>
      <c r="H33" s="493"/>
      <c r="I33" s="469"/>
      <c r="J33" s="469"/>
      <c r="K33" s="469"/>
      <c r="L33" s="469"/>
      <c r="M33" s="502"/>
      <c r="N33" s="502"/>
      <c r="O33" s="502"/>
      <c r="P33" s="502"/>
      <c r="Q33" s="502"/>
      <c r="R33" s="502"/>
      <c r="S33" s="502"/>
      <c r="T33" s="502"/>
      <c r="U33" s="502"/>
      <c r="V33" s="503"/>
      <c r="W33" s="20"/>
      <c r="X33" s="20"/>
      <c r="Y33" s="20"/>
      <c r="Z33" s="20"/>
      <c r="AA33" s="20"/>
      <c r="AB33" s="20"/>
      <c r="AC33" s="20"/>
      <c r="AD33" s="20"/>
    </row>
    <row r="34" spans="1:30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</row>
    <row r="35" spans="1:30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</row>
    <row r="36" spans="1:30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</row>
    <row r="37" spans="1:30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</row>
    <row r="38" spans="1:30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</row>
    <row r="39" spans="1:30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</row>
    <row r="40" spans="1:30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</row>
    <row r="41" spans="1:30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</row>
    <row r="42" spans="1:30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</row>
    <row r="43" spans="1:30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</row>
    <row r="44" spans="1:30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</row>
    <row r="45" spans="1:30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</row>
    <row r="46" spans="1:30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</row>
    <row r="47" spans="1:30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</row>
    <row r="48" spans="1:30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</row>
    <row r="49" spans="1:30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</row>
    <row r="50" spans="1:30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</row>
    <row r="51" spans="1:30" x14ac:dyDescent="0.25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</row>
    <row r="52" spans="1:30" x14ac:dyDescent="0.25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</row>
    <row r="53" spans="1:30" x14ac:dyDescent="0.25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</row>
    <row r="54" spans="1:30" x14ac:dyDescent="0.25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</row>
    <row r="55" spans="1:30" x14ac:dyDescent="0.25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</row>
    <row r="56" spans="1:30" x14ac:dyDescent="0.25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</row>
    <row r="57" spans="1:30" x14ac:dyDescent="0.25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</row>
    <row r="58" spans="1:30" x14ac:dyDescent="0.25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</row>
    <row r="59" spans="1:30" x14ac:dyDescent="0.25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</row>
  </sheetData>
  <mergeCells count="175">
    <mergeCell ref="B4:D5"/>
    <mergeCell ref="M33:V33"/>
    <mergeCell ref="G8:H8"/>
    <mergeCell ref="G7:H7"/>
    <mergeCell ref="G6:H6"/>
    <mergeCell ref="B8:D8"/>
    <mergeCell ref="B7:D7"/>
    <mergeCell ref="B6:D6"/>
    <mergeCell ref="M27:V27"/>
    <mergeCell ref="M28:V28"/>
    <mergeCell ref="M29:V29"/>
    <mergeCell ref="M30:V30"/>
    <mergeCell ref="M31:V31"/>
    <mergeCell ref="M32:V32"/>
    <mergeCell ref="M21:V21"/>
    <mergeCell ref="M22:V22"/>
    <mergeCell ref="M23:V23"/>
    <mergeCell ref="M24:V24"/>
    <mergeCell ref="M25:V25"/>
    <mergeCell ref="M26:V26"/>
    <mergeCell ref="M15:V15"/>
    <mergeCell ref="M16:V16"/>
    <mergeCell ref="M17:V17"/>
    <mergeCell ref="M18:V18"/>
    <mergeCell ref="M19:V19"/>
    <mergeCell ref="M20:V20"/>
    <mergeCell ref="K33:L33"/>
    <mergeCell ref="M6:V6"/>
    <mergeCell ref="M7:V7"/>
    <mergeCell ref="M8:V8"/>
    <mergeCell ref="M9:V9"/>
    <mergeCell ref="M10:V10"/>
    <mergeCell ref="M11:V11"/>
    <mergeCell ref="M12:V12"/>
    <mergeCell ref="M13:V13"/>
    <mergeCell ref="M14:V14"/>
    <mergeCell ref="K27:L27"/>
    <mergeCell ref="K28:L28"/>
    <mergeCell ref="K29:L29"/>
    <mergeCell ref="K30:L30"/>
    <mergeCell ref="K31:L31"/>
    <mergeCell ref="K32:L32"/>
    <mergeCell ref="K21:L21"/>
    <mergeCell ref="K22:L22"/>
    <mergeCell ref="K23:L23"/>
    <mergeCell ref="K24:L24"/>
    <mergeCell ref="K25:L25"/>
    <mergeCell ref="K26:L26"/>
    <mergeCell ref="K15:L15"/>
    <mergeCell ref="K16:L16"/>
    <mergeCell ref="K17:L17"/>
    <mergeCell ref="K18:L18"/>
    <mergeCell ref="K19:L19"/>
    <mergeCell ref="K20:L20"/>
    <mergeCell ref="I33:J33"/>
    <mergeCell ref="K6:L6"/>
    <mergeCell ref="K7:L7"/>
    <mergeCell ref="K8:L8"/>
    <mergeCell ref="K9:L9"/>
    <mergeCell ref="K10:L10"/>
    <mergeCell ref="K11:L11"/>
    <mergeCell ref="K12:L12"/>
    <mergeCell ref="K13:L13"/>
    <mergeCell ref="K14:L14"/>
    <mergeCell ref="I27:J27"/>
    <mergeCell ref="I28:J28"/>
    <mergeCell ref="I29:J29"/>
    <mergeCell ref="I30:J30"/>
    <mergeCell ref="I31:J31"/>
    <mergeCell ref="I32:J32"/>
    <mergeCell ref="I21:J21"/>
    <mergeCell ref="I22:J22"/>
    <mergeCell ref="G15:H15"/>
    <mergeCell ref="G16:H16"/>
    <mergeCell ref="I23:J23"/>
    <mergeCell ref="I24:J24"/>
    <mergeCell ref="I25:J25"/>
    <mergeCell ref="I26:J26"/>
    <mergeCell ref="I15:J15"/>
    <mergeCell ref="I16:J16"/>
    <mergeCell ref="I17:J17"/>
    <mergeCell ref="I18:J18"/>
    <mergeCell ref="I19:J19"/>
    <mergeCell ref="I20:J20"/>
    <mergeCell ref="G13:H13"/>
    <mergeCell ref="G14:H14"/>
    <mergeCell ref="G33:H33"/>
    <mergeCell ref="I6:J6"/>
    <mergeCell ref="I7:J7"/>
    <mergeCell ref="I8:J8"/>
    <mergeCell ref="I9:J9"/>
    <mergeCell ref="I10:J10"/>
    <mergeCell ref="I11:J11"/>
    <mergeCell ref="I12:J12"/>
    <mergeCell ref="I13:J13"/>
    <mergeCell ref="I14:J14"/>
    <mergeCell ref="G27:H27"/>
    <mergeCell ref="G28:H28"/>
    <mergeCell ref="G29:H29"/>
    <mergeCell ref="G30:H30"/>
    <mergeCell ref="G31:H31"/>
    <mergeCell ref="G32:H32"/>
    <mergeCell ref="G21:H21"/>
    <mergeCell ref="G22:H22"/>
    <mergeCell ref="G23:H23"/>
    <mergeCell ref="G24:H24"/>
    <mergeCell ref="G25:H25"/>
    <mergeCell ref="G26:H26"/>
    <mergeCell ref="E30:F30"/>
    <mergeCell ref="E31:F31"/>
    <mergeCell ref="E32:F32"/>
    <mergeCell ref="E33:F33"/>
    <mergeCell ref="E22:F22"/>
    <mergeCell ref="E23:F23"/>
    <mergeCell ref="E24:F24"/>
    <mergeCell ref="E25:F25"/>
    <mergeCell ref="E26:F26"/>
    <mergeCell ref="E27:F27"/>
    <mergeCell ref="E21:F21"/>
    <mergeCell ref="E10:F10"/>
    <mergeCell ref="E11:F11"/>
    <mergeCell ref="E12:F12"/>
    <mergeCell ref="E13:F13"/>
    <mergeCell ref="E14:F14"/>
    <mergeCell ref="E15:F15"/>
    <mergeCell ref="E28:F28"/>
    <mergeCell ref="E29:F29"/>
    <mergeCell ref="B33:D33"/>
    <mergeCell ref="E4:F5"/>
    <mergeCell ref="G4:H5"/>
    <mergeCell ref="I4:J5"/>
    <mergeCell ref="K4:L5"/>
    <mergeCell ref="M4:V5"/>
    <mergeCell ref="E6:F6"/>
    <mergeCell ref="E7:F7"/>
    <mergeCell ref="E8:F8"/>
    <mergeCell ref="E9:F9"/>
    <mergeCell ref="B27:D27"/>
    <mergeCell ref="B28:D28"/>
    <mergeCell ref="B29:D29"/>
    <mergeCell ref="B30:D30"/>
    <mergeCell ref="B31:D31"/>
    <mergeCell ref="B32:D32"/>
    <mergeCell ref="B21:D21"/>
    <mergeCell ref="B22:D22"/>
    <mergeCell ref="B23:D23"/>
    <mergeCell ref="B24:D24"/>
    <mergeCell ref="B25:D25"/>
    <mergeCell ref="B26:D26"/>
    <mergeCell ref="B15:D15"/>
    <mergeCell ref="B16:D16"/>
    <mergeCell ref="B2:V3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E16:F16"/>
    <mergeCell ref="E17:F17"/>
    <mergeCell ref="E18:F18"/>
    <mergeCell ref="E19:F19"/>
    <mergeCell ref="E20:F20"/>
    <mergeCell ref="G17:H17"/>
    <mergeCell ref="G18:H18"/>
    <mergeCell ref="G19:H19"/>
    <mergeCell ref="G20:H20"/>
    <mergeCell ref="G9:H9"/>
    <mergeCell ref="G10:H10"/>
    <mergeCell ref="G11:H11"/>
    <mergeCell ref="G12:H12"/>
  </mergeCells>
  <conditionalFormatting sqref="B6:V33">
    <cfRule type="expression" dxfId="7" priority="1">
      <formula>MOD(ROW(),2)=0</formula>
    </cfRule>
  </conditionalFormatting>
  <dataValidations count="2">
    <dataValidation type="list" allowBlank="1" showInputMessage="1" showErrorMessage="1" sqref="I6:J33" xr:uid="{00000000-0002-0000-0500-000000000000}">
      <formula1>$AE$2:$AE$8</formula1>
    </dataValidation>
    <dataValidation type="list" allowBlank="1" showInputMessage="1" showErrorMessage="1" sqref="K6:L33" xr:uid="{00000000-0002-0000-0500-000001000000}">
      <formula1>$AF$2:$AF$8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B46"/>
  <sheetViews>
    <sheetView tabSelected="1" zoomScale="90" zoomScaleNormal="90" workbookViewId="0">
      <selection activeCell="T8" sqref="T8:U9"/>
    </sheetView>
  </sheetViews>
  <sheetFormatPr defaultRowHeight="15" x14ac:dyDescent="0.25"/>
  <cols>
    <col min="1" max="1" width="10.5703125" customWidth="1"/>
    <col min="3" max="3" width="15" customWidth="1"/>
    <col min="4" max="4" width="7" customWidth="1"/>
    <col min="6" max="6" width="8.140625" customWidth="1"/>
    <col min="8" max="8" width="15.140625" customWidth="1"/>
    <col min="10" max="10" width="7.140625" customWidth="1"/>
    <col min="12" max="12" width="8.140625" customWidth="1"/>
    <col min="14" max="14" width="15" customWidth="1"/>
    <col min="16" max="16" width="7.140625" customWidth="1"/>
    <col min="18" max="18" width="8.140625" customWidth="1"/>
    <col min="21" max="21" width="15" customWidth="1"/>
    <col min="22" max="22" width="7.140625" customWidth="1"/>
    <col min="24" max="24" width="8.140625" customWidth="1"/>
  </cols>
  <sheetData>
    <row r="1" spans="1:28" ht="13.5" customHeight="1" thickBot="1" x14ac:dyDescent="0.3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</row>
    <row r="2" spans="1:28" x14ac:dyDescent="0.25">
      <c r="A2" s="20"/>
      <c r="B2" s="545" t="s">
        <v>65</v>
      </c>
      <c r="C2" s="546"/>
      <c r="D2" s="546"/>
      <c r="E2" s="546"/>
      <c r="F2" s="546"/>
      <c r="G2" s="546"/>
      <c r="H2" s="546"/>
      <c r="I2" s="546"/>
      <c r="J2" s="546"/>
      <c r="K2" s="546"/>
      <c r="L2" s="546"/>
      <c r="M2" s="546"/>
      <c r="N2" s="546"/>
      <c r="O2" s="546"/>
      <c r="P2" s="546"/>
      <c r="Q2" s="546"/>
      <c r="R2" s="546"/>
      <c r="S2" s="546"/>
      <c r="T2" s="546"/>
      <c r="U2" s="546"/>
      <c r="V2" s="546"/>
      <c r="W2" s="546"/>
      <c r="X2" s="546"/>
      <c r="Y2" s="547"/>
      <c r="Z2" s="20"/>
      <c r="AA2" s="20"/>
      <c r="AB2" s="20"/>
    </row>
    <row r="3" spans="1:28" ht="13.5" customHeight="1" thickBot="1" x14ac:dyDescent="0.3">
      <c r="A3" s="20"/>
      <c r="B3" s="548"/>
      <c r="C3" s="549"/>
      <c r="D3" s="549"/>
      <c r="E3" s="549"/>
      <c r="F3" s="549"/>
      <c r="G3" s="549"/>
      <c r="H3" s="549"/>
      <c r="I3" s="549"/>
      <c r="J3" s="549"/>
      <c r="K3" s="549"/>
      <c r="L3" s="549"/>
      <c r="M3" s="549"/>
      <c r="N3" s="549"/>
      <c r="O3" s="549"/>
      <c r="P3" s="549"/>
      <c r="Q3" s="549"/>
      <c r="R3" s="549"/>
      <c r="S3" s="549"/>
      <c r="T3" s="549"/>
      <c r="U3" s="549"/>
      <c r="V3" s="549"/>
      <c r="W3" s="549"/>
      <c r="X3" s="549"/>
      <c r="Y3" s="550"/>
      <c r="Z3" s="20"/>
      <c r="AA3" s="20"/>
      <c r="AB3" s="20"/>
    </row>
    <row r="4" spans="1:28" ht="12.75" customHeight="1" x14ac:dyDescent="0.25">
      <c r="A4" s="20"/>
      <c r="B4" s="504" t="s">
        <v>59</v>
      </c>
      <c r="C4" s="505"/>
      <c r="D4" s="505"/>
      <c r="E4" s="505"/>
      <c r="F4" s="505"/>
      <c r="G4" s="506"/>
      <c r="H4" s="510" t="s">
        <v>60</v>
      </c>
      <c r="I4" s="511"/>
      <c r="J4" s="511"/>
      <c r="K4" s="511"/>
      <c r="L4" s="511"/>
      <c r="M4" s="512"/>
      <c r="N4" s="516" t="s">
        <v>61</v>
      </c>
      <c r="O4" s="517"/>
      <c r="P4" s="517"/>
      <c r="Q4" s="517"/>
      <c r="R4" s="517"/>
      <c r="S4" s="518"/>
      <c r="T4" s="522" t="s">
        <v>62</v>
      </c>
      <c r="U4" s="523"/>
      <c r="V4" s="523"/>
      <c r="W4" s="523"/>
      <c r="X4" s="523"/>
      <c r="Y4" s="524"/>
      <c r="Z4" s="20"/>
      <c r="AA4" s="20"/>
      <c r="AB4" s="20"/>
    </row>
    <row r="5" spans="1:28" ht="12" customHeight="1" x14ac:dyDescent="0.25">
      <c r="A5" s="20"/>
      <c r="B5" s="507"/>
      <c r="C5" s="508"/>
      <c r="D5" s="508"/>
      <c r="E5" s="508"/>
      <c r="F5" s="508"/>
      <c r="G5" s="509"/>
      <c r="H5" s="513"/>
      <c r="I5" s="514"/>
      <c r="J5" s="514"/>
      <c r="K5" s="514"/>
      <c r="L5" s="514"/>
      <c r="M5" s="515"/>
      <c r="N5" s="519"/>
      <c r="O5" s="520"/>
      <c r="P5" s="520"/>
      <c r="Q5" s="520"/>
      <c r="R5" s="520"/>
      <c r="S5" s="521"/>
      <c r="T5" s="525"/>
      <c r="U5" s="526"/>
      <c r="V5" s="526"/>
      <c r="W5" s="526"/>
      <c r="X5" s="526"/>
      <c r="Y5" s="527"/>
      <c r="Z5" s="20"/>
      <c r="AA5" s="20"/>
      <c r="AB5" s="20"/>
    </row>
    <row r="6" spans="1:28" ht="11.25" customHeight="1" x14ac:dyDescent="0.25">
      <c r="A6" s="20"/>
      <c r="B6" s="507"/>
      <c r="C6" s="508"/>
      <c r="D6" s="508"/>
      <c r="E6" s="508"/>
      <c r="F6" s="508"/>
      <c r="G6" s="509"/>
      <c r="H6" s="513"/>
      <c r="I6" s="514"/>
      <c r="J6" s="514"/>
      <c r="K6" s="514"/>
      <c r="L6" s="514"/>
      <c r="M6" s="515"/>
      <c r="N6" s="519"/>
      <c r="O6" s="520"/>
      <c r="P6" s="520"/>
      <c r="Q6" s="520"/>
      <c r="R6" s="520"/>
      <c r="S6" s="521"/>
      <c r="T6" s="525"/>
      <c r="U6" s="526"/>
      <c r="V6" s="526"/>
      <c r="W6" s="526"/>
      <c r="X6" s="526"/>
      <c r="Y6" s="527"/>
      <c r="Z6" s="20"/>
      <c r="AA6" s="20"/>
      <c r="AB6" s="20"/>
    </row>
    <row r="7" spans="1:28" x14ac:dyDescent="0.25">
      <c r="A7" s="20"/>
      <c r="B7" s="528" t="s">
        <v>8</v>
      </c>
      <c r="C7" s="529"/>
      <c r="D7" s="529" t="s">
        <v>63</v>
      </c>
      <c r="E7" s="529"/>
      <c r="F7" s="529" t="s">
        <v>64</v>
      </c>
      <c r="G7" s="530"/>
      <c r="H7" s="528" t="s">
        <v>8</v>
      </c>
      <c r="I7" s="529"/>
      <c r="J7" s="529" t="s">
        <v>63</v>
      </c>
      <c r="K7" s="529"/>
      <c r="L7" s="529" t="s">
        <v>64</v>
      </c>
      <c r="M7" s="530"/>
      <c r="N7" s="528" t="s">
        <v>8</v>
      </c>
      <c r="O7" s="529"/>
      <c r="P7" s="529" t="s">
        <v>63</v>
      </c>
      <c r="Q7" s="529"/>
      <c r="R7" s="529" t="s">
        <v>64</v>
      </c>
      <c r="S7" s="530"/>
      <c r="T7" s="528" t="s">
        <v>8</v>
      </c>
      <c r="U7" s="529"/>
      <c r="V7" s="529" t="s">
        <v>63</v>
      </c>
      <c r="W7" s="529"/>
      <c r="X7" s="529" t="s">
        <v>64</v>
      </c>
      <c r="Y7" s="530"/>
      <c r="Z7" s="20"/>
      <c r="AA7" s="20"/>
      <c r="AB7" s="20"/>
    </row>
    <row r="8" spans="1:28" x14ac:dyDescent="0.25">
      <c r="A8" s="20"/>
      <c r="B8" s="385" t="s">
        <v>207</v>
      </c>
      <c r="C8" s="386"/>
      <c r="D8" s="531">
        <v>43159</v>
      </c>
      <c r="E8" s="386"/>
      <c r="F8" s="387">
        <v>1180</v>
      </c>
      <c r="G8" s="532"/>
      <c r="H8" s="385" t="s">
        <v>207</v>
      </c>
      <c r="I8" s="386"/>
      <c r="J8" s="531">
        <v>43246</v>
      </c>
      <c r="K8" s="386"/>
      <c r="L8" s="387">
        <v>2200</v>
      </c>
      <c r="M8" s="532"/>
      <c r="N8" s="385" t="s">
        <v>207</v>
      </c>
      <c r="O8" s="386"/>
      <c r="P8" s="531">
        <v>43367</v>
      </c>
      <c r="Q8" s="386"/>
      <c r="R8" s="387">
        <v>2654</v>
      </c>
      <c r="S8" s="532"/>
      <c r="T8" s="385" t="s">
        <v>207</v>
      </c>
      <c r="U8" s="386"/>
      <c r="V8" s="531">
        <v>43435</v>
      </c>
      <c r="W8" s="386"/>
      <c r="X8" s="387">
        <v>2697</v>
      </c>
      <c r="Y8" s="532"/>
      <c r="Z8" s="20"/>
      <c r="AA8" s="20"/>
      <c r="AB8" s="20"/>
    </row>
    <row r="9" spans="1:28" x14ac:dyDescent="0.25">
      <c r="A9" s="20"/>
      <c r="B9" s="385" t="s">
        <v>207</v>
      </c>
      <c r="C9" s="386"/>
      <c r="D9" s="531">
        <v>43129</v>
      </c>
      <c r="E9" s="386"/>
      <c r="F9" s="387">
        <v>70</v>
      </c>
      <c r="G9" s="532"/>
      <c r="H9" s="385" t="s">
        <v>207</v>
      </c>
      <c r="I9" s="386"/>
      <c r="J9" s="531">
        <v>43205</v>
      </c>
      <c r="K9" s="386"/>
      <c r="L9" s="387">
        <v>650</v>
      </c>
      <c r="M9" s="532"/>
      <c r="N9" s="385" t="s">
        <v>207</v>
      </c>
      <c r="O9" s="386"/>
      <c r="P9" s="531">
        <v>43315</v>
      </c>
      <c r="Q9" s="386"/>
      <c r="R9" s="387">
        <v>799</v>
      </c>
      <c r="S9" s="532"/>
      <c r="T9" s="385" t="s">
        <v>207</v>
      </c>
      <c r="U9" s="386"/>
      <c r="V9" s="531">
        <v>43376</v>
      </c>
      <c r="W9" s="386"/>
      <c r="X9" s="387">
        <v>3649</v>
      </c>
      <c r="Y9" s="532"/>
      <c r="Z9" s="20"/>
      <c r="AA9" s="20"/>
      <c r="AB9" s="20"/>
    </row>
    <row r="10" spans="1:28" x14ac:dyDescent="0.25">
      <c r="A10" s="20"/>
      <c r="B10" s="385" t="s">
        <v>207</v>
      </c>
      <c r="C10" s="386"/>
      <c r="D10" s="531">
        <v>43182</v>
      </c>
      <c r="E10" s="386"/>
      <c r="F10" s="387">
        <v>3659.4</v>
      </c>
      <c r="G10" s="532"/>
      <c r="H10" s="385" t="s">
        <v>207</v>
      </c>
      <c r="I10" s="386"/>
      <c r="J10" s="531">
        <v>43235</v>
      </c>
      <c r="K10" s="386"/>
      <c r="L10" s="387">
        <v>999</v>
      </c>
      <c r="M10" s="532"/>
      <c r="N10" s="385" t="s">
        <v>207</v>
      </c>
      <c r="O10" s="386"/>
      <c r="P10" s="531">
        <v>43297</v>
      </c>
      <c r="Q10" s="386"/>
      <c r="R10" s="387">
        <v>1904.47</v>
      </c>
      <c r="S10" s="532"/>
      <c r="T10" s="385"/>
      <c r="U10" s="386"/>
      <c r="V10" s="386"/>
      <c r="W10" s="386"/>
      <c r="X10" s="387"/>
      <c r="Y10" s="532"/>
      <c r="Z10" s="20"/>
      <c r="AA10" s="20"/>
      <c r="AB10" s="20"/>
    </row>
    <row r="11" spans="1:28" x14ac:dyDescent="0.25">
      <c r="A11" s="20"/>
      <c r="B11" s="385" t="s">
        <v>207</v>
      </c>
      <c r="C11" s="386"/>
      <c r="D11" s="531">
        <v>43115</v>
      </c>
      <c r="E11" s="531"/>
      <c r="F11" s="387">
        <v>3610</v>
      </c>
      <c r="G11" s="532"/>
      <c r="H11" s="385" t="s">
        <v>207</v>
      </c>
      <c r="I11" s="386"/>
      <c r="J11" s="531">
        <v>43217</v>
      </c>
      <c r="K11" s="386"/>
      <c r="L11" s="387">
        <v>1790</v>
      </c>
      <c r="M11" s="532"/>
      <c r="N11" s="385" t="s">
        <v>207</v>
      </c>
      <c r="O11" s="386"/>
      <c r="P11" s="531">
        <v>43305</v>
      </c>
      <c r="Q11" s="386"/>
      <c r="R11" s="387">
        <v>1929.47</v>
      </c>
      <c r="S11" s="532"/>
      <c r="T11" s="385"/>
      <c r="U11" s="386"/>
      <c r="V11" s="386"/>
      <c r="W11" s="386"/>
      <c r="X11" s="387"/>
      <c r="Y11" s="532"/>
      <c r="Z11" s="20"/>
      <c r="AA11" s="20"/>
      <c r="AB11" s="20"/>
    </row>
    <row r="12" spans="1:28" x14ac:dyDescent="0.25">
      <c r="A12" s="20"/>
      <c r="B12" s="385" t="s">
        <v>207</v>
      </c>
      <c r="C12" s="386"/>
      <c r="D12" s="531">
        <v>43131</v>
      </c>
      <c r="E12" s="386"/>
      <c r="F12" s="387">
        <v>199</v>
      </c>
      <c r="G12" s="532"/>
      <c r="H12" s="385" t="s">
        <v>207</v>
      </c>
      <c r="I12" s="386"/>
      <c r="J12" s="531">
        <v>43196</v>
      </c>
      <c r="K12" s="386"/>
      <c r="L12" s="387">
        <v>3079</v>
      </c>
      <c r="M12" s="532"/>
      <c r="N12" s="385"/>
      <c r="O12" s="386"/>
      <c r="P12" s="386"/>
      <c r="Q12" s="386"/>
      <c r="R12" s="387"/>
      <c r="S12" s="532"/>
      <c r="T12" s="385"/>
      <c r="U12" s="386"/>
      <c r="V12" s="386"/>
      <c r="W12" s="386"/>
      <c r="X12" s="387"/>
      <c r="Y12" s="532"/>
      <c r="Z12" s="20"/>
      <c r="AA12" s="20"/>
      <c r="AB12" s="20"/>
    </row>
    <row r="13" spans="1:28" x14ac:dyDescent="0.25">
      <c r="A13" s="20"/>
      <c r="B13" s="120"/>
      <c r="C13" s="41"/>
      <c r="D13" s="41"/>
      <c r="E13" s="41"/>
      <c r="F13" s="41"/>
      <c r="G13" s="41"/>
      <c r="H13" s="385" t="s">
        <v>207</v>
      </c>
      <c r="I13" s="386"/>
      <c r="J13" s="531">
        <v>43228</v>
      </c>
      <c r="K13" s="386"/>
      <c r="L13" s="387">
        <v>618</v>
      </c>
      <c r="M13" s="532"/>
      <c r="N13" s="385"/>
      <c r="O13" s="386"/>
      <c r="P13" s="386"/>
      <c r="Q13" s="386"/>
      <c r="R13" s="387"/>
      <c r="S13" s="532"/>
      <c r="T13" s="385"/>
      <c r="U13" s="386"/>
      <c r="V13" s="386"/>
      <c r="W13" s="386"/>
      <c r="X13" s="387"/>
      <c r="Y13" s="532"/>
      <c r="Z13" s="20"/>
      <c r="AA13" s="20"/>
      <c r="AB13" s="20"/>
    </row>
    <row r="14" spans="1:28" x14ac:dyDescent="0.25">
      <c r="A14" s="20"/>
      <c r="B14" s="385"/>
      <c r="C14" s="386"/>
      <c r="D14" s="386"/>
      <c r="E14" s="386"/>
      <c r="F14" s="387"/>
      <c r="G14" s="532"/>
      <c r="H14" s="385" t="s">
        <v>207</v>
      </c>
      <c r="I14" s="386"/>
      <c r="J14" s="531">
        <v>43221</v>
      </c>
      <c r="K14" s="386"/>
      <c r="L14" s="387">
        <v>50</v>
      </c>
      <c r="M14" s="532"/>
      <c r="N14" s="385"/>
      <c r="O14" s="386"/>
      <c r="P14" s="386"/>
      <c r="Q14" s="386"/>
      <c r="R14" s="387"/>
      <c r="S14" s="532"/>
      <c r="T14" s="385"/>
      <c r="U14" s="386"/>
      <c r="V14" s="386"/>
      <c r="W14" s="386"/>
      <c r="X14" s="387"/>
      <c r="Y14" s="532"/>
      <c r="Z14" s="20"/>
      <c r="AA14" s="20"/>
      <c r="AB14" s="20"/>
    </row>
    <row r="15" spans="1:28" x14ac:dyDescent="0.25">
      <c r="A15" s="20"/>
      <c r="B15" s="385"/>
      <c r="C15" s="386"/>
      <c r="D15" s="386"/>
      <c r="E15" s="386"/>
      <c r="F15" s="387"/>
      <c r="G15" s="532"/>
      <c r="H15" s="385"/>
      <c r="I15" s="386"/>
      <c r="J15" s="386"/>
      <c r="K15" s="386"/>
      <c r="L15" s="387"/>
      <c r="M15" s="532"/>
      <c r="N15" s="385"/>
      <c r="O15" s="386"/>
      <c r="P15" s="386"/>
      <c r="Q15" s="386"/>
      <c r="R15" s="387"/>
      <c r="S15" s="532"/>
      <c r="T15" s="385"/>
      <c r="U15" s="386"/>
      <c r="V15" s="386"/>
      <c r="W15" s="386"/>
      <c r="X15" s="387"/>
      <c r="Y15" s="532"/>
      <c r="Z15" s="20"/>
      <c r="AA15" s="20"/>
      <c r="AB15" s="20"/>
    </row>
    <row r="16" spans="1:28" x14ac:dyDescent="0.25">
      <c r="A16" s="20"/>
      <c r="B16" s="385"/>
      <c r="C16" s="386"/>
      <c r="D16" s="386"/>
      <c r="E16" s="386"/>
      <c r="F16" s="387"/>
      <c r="G16" s="532"/>
      <c r="H16" s="385"/>
      <c r="I16" s="386"/>
      <c r="J16" s="386"/>
      <c r="K16" s="386"/>
      <c r="L16" s="387"/>
      <c r="M16" s="532"/>
      <c r="N16" s="385"/>
      <c r="O16" s="386"/>
      <c r="P16" s="386"/>
      <c r="Q16" s="386"/>
      <c r="R16" s="387"/>
      <c r="S16" s="532"/>
      <c r="T16" s="385"/>
      <c r="U16" s="386"/>
      <c r="V16" s="386"/>
      <c r="W16" s="386"/>
      <c r="X16" s="387"/>
      <c r="Y16" s="532"/>
      <c r="Z16" s="20"/>
      <c r="AA16" s="20"/>
      <c r="AB16" s="20"/>
    </row>
    <row r="17" spans="1:28" x14ac:dyDescent="0.25">
      <c r="A17" s="20"/>
      <c r="B17" s="385"/>
      <c r="C17" s="386"/>
      <c r="D17" s="386"/>
      <c r="E17" s="386"/>
      <c r="F17" s="387"/>
      <c r="G17" s="532"/>
      <c r="H17" s="385"/>
      <c r="I17" s="386"/>
      <c r="J17" s="386"/>
      <c r="K17" s="386"/>
      <c r="L17" s="387"/>
      <c r="M17" s="532"/>
      <c r="N17" s="385"/>
      <c r="O17" s="386"/>
      <c r="P17" s="386"/>
      <c r="Q17" s="386"/>
      <c r="R17" s="387"/>
      <c r="S17" s="532"/>
      <c r="T17" s="385"/>
      <c r="U17" s="386"/>
      <c r="V17" s="386"/>
      <c r="W17" s="386"/>
      <c r="X17" s="387"/>
      <c r="Y17" s="532"/>
      <c r="Z17" s="20"/>
      <c r="AA17" s="20"/>
      <c r="AB17" s="20"/>
    </row>
    <row r="18" spans="1:28" x14ac:dyDescent="0.25">
      <c r="A18" s="20"/>
      <c r="B18" s="385"/>
      <c r="C18" s="386"/>
      <c r="D18" s="386"/>
      <c r="E18" s="386"/>
      <c r="F18" s="387"/>
      <c r="G18" s="532"/>
      <c r="H18" s="385"/>
      <c r="I18" s="386"/>
      <c r="J18" s="386"/>
      <c r="K18" s="386"/>
      <c r="L18" s="387"/>
      <c r="M18" s="532"/>
      <c r="N18" s="385"/>
      <c r="O18" s="386"/>
      <c r="P18" s="386"/>
      <c r="Q18" s="386"/>
      <c r="R18" s="387"/>
      <c r="S18" s="532"/>
      <c r="T18" s="385"/>
      <c r="U18" s="386"/>
      <c r="V18" s="386"/>
      <c r="W18" s="386"/>
      <c r="X18" s="387"/>
      <c r="Y18" s="532"/>
      <c r="Z18" s="20"/>
      <c r="AA18" s="20"/>
      <c r="AB18" s="20"/>
    </row>
    <row r="19" spans="1:28" x14ac:dyDescent="0.25">
      <c r="A19" s="20"/>
      <c r="B19" s="385"/>
      <c r="C19" s="386"/>
      <c r="D19" s="386"/>
      <c r="E19" s="386"/>
      <c r="F19" s="387"/>
      <c r="G19" s="532"/>
      <c r="H19" s="385"/>
      <c r="I19" s="386"/>
      <c r="J19" s="386"/>
      <c r="K19" s="386"/>
      <c r="L19" s="387"/>
      <c r="M19" s="532"/>
      <c r="N19" s="385"/>
      <c r="O19" s="386"/>
      <c r="P19" s="386"/>
      <c r="Q19" s="386"/>
      <c r="R19" s="387"/>
      <c r="S19" s="532"/>
      <c r="T19" s="385"/>
      <c r="U19" s="386"/>
      <c r="V19" s="386"/>
      <c r="W19" s="386"/>
      <c r="X19" s="387"/>
      <c r="Y19" s="532"/>
      <c r="Z19" s="20"/>
      <c r="AA19" s="20"/>
      <c r="AB19" s="20"/>
    </row>
    <row r="20" spans="1:28" x14ac:dyDescent="0.25">
      <c r="A20" s="20"/>
      <c r="B20" s="385"/>
      <c r="C20" s="386"/>
      <c r="D20" s="386"/>
      <c r="E20" s="386"/>
      <c r="F20" s="387"/>
      <c r="G20" s="532"/>
      <c r="H20" s="385"/>
      <c r="I20" s="386"/>
      <c r="J20" s="386"/>
      <c r="K20" s="386"/>
      <c r="L20" s="387"/>
      <c r="M20" s="532"/>
      <c r="N20" s="385"/>
      <c r="O20" s="386"/>
      <c r="P20" s="386"/>
      <c r="Q20" s="386"/>
      <c r="R20" s="387"/>
      <c r="S20" s="532"/>
      <c r="T20" s="385"/>
      <c r="U20" s="386"/>
      <c r="V20" s="386"/>
      <c r="W20" s="386"/>
      <c r="X20" s="387"/>
      <c r="Y20" s="532"/>
      <c r="Z20" s="20"/>
      <c r="AA20" s="20"/>
      <c r="AB20" s="20"/>
    </row>
    <row r="21" spans="1:28" x14ac:dyDescent="0.25">
      <c r="A21" s="20"/>
      <c r="B21" s="385"/>
      <c r="C21" s="386"/>
      <c r="D21" s="386"/>
      <c r="E21" s="386"/>
      <c r="F21" s="387"/>
      <c r="G21" s="532"/>
      <c r="H21" s="385"/>
      <c r="I21" s="386"/>
      <c r="J21" s="386"/>
      <c r="K21" s="386"/>
      <c r="L21" s="387"/>
      <c r="M21" s="532"/>
      <c r="N21" s="385"/>
      <c r="O21" s="386"/>
      <c r="P21" s="386"/>
      <c r="Q21" s="386"/>
      <c r="R21" s="387"/>
      <c r="S21" s="532"/>
      <c r="T21" s="385"/>
      <c r="U21" s="386"/>
      <c r="V21" s="386"/>
      <c r="W21" s="386"/>
      <c r="X21" s="387"/>
      <c r="Y21" s="532"/>
      <c r="Z21" s="20"/>
      <c r="AA21" s="20"/>
      <c r="AB21" s="20"/>
    </row>
    <row r="22" spans="1:28" x14ac:dyDescent="0.25">
      <c r="A22" s="20"/>
      <c r="B22" s="385"/>
      <c r="C22" s="386"/>
      <c r="D22" s="386"/>
      <c r="E22" s="386"/>
      <c r="F22" s="387"/>
      <c r="G22" s="532"/>
      <c r="H22" s="385"/>
      <c r="I22" s="386"/>
      <c r="J22" s="386"/>
      <c r="K22" s="386"/>
      <c r="L22" s="387"/>
      <c r="M22" s="532"/>
      <c r="N22" s="385"/>
      <c r="O22" s="386"/>
      <c r="P22" s="386"/>
      <c r="Q22" s="386"/>
      <c r="R22" s="387"/>
      <c r="S22" s="532"/>
      <c r="T22" s="385"/>
      <c r="U22" s="386"/>
      <c r="V22" s="386"/>
      <c r="W22" s="386"/>
      <c r="X22" s="387"/>
      <c r="Y22" s="532"/>
      <c r="Z22" s="20"/>
      <c r="AA22" s="20"/>
      <c r="AB22" s="20"/>
    </row>
    <row r="23" spans="1:28" x14ac:dyDescent="0.25">
      <c r="A23" s="20"/>
      <c r="B23" s="385"/>
      <c r="C23" s="386"/>
      <c r="D23" s="386"/>
      <c r="E23" s="386"/>
      <c r="F23" s="387"/>
      <c r="G23" s="532"/>
      <c r="H23" s="385"/>
      <c r="I23" s="386"/>
      <c r="J23" s="386"/>
      <c r="K23" s="386"/>
      <c r="L23" s="387"/>
      <c r="M23" s="532"/>
      <c r="N23" s="385"/>
      <c r="O23" s="386"/>
      <c r="P23" s="386"/>
      <c r="Q23" s="386"/>
      <c r="R23" s="387"/>
      <c r="S23" s="532"/>
      <c r="T23" s="385"/>
      <c r="U23" s="386"/>
      <c r="V23" s="386"/>
      <c r="W23" s="386"/>
      <c r="X23" s="387"/>
      <c r="Y23" s="532"/>
      <c r="Z23" s="20"/>
      <c r="AA23" s="20"/>
      <c r="AB23" s="20"/>
    </row>
    <row r="24" spans="1:28" x14ac:dyDescent="0.25">
      <c r="A24" s="20"/>
      <c r="B24" s="385"/>
      <c r="C24" s="386"/>
      <c r="D24" s="386"/>
      <c r="E24" s="386"/>
      <c r="F24" s="387"/>
      <c r="G24" s="532"/>
      <c r="H24" s="385"/>
      <c r="I24" s="386"/>
      <c r="J24" s="386"/>
      <c r="K24" s="386"/>
      <c r="L24" s="387"/>
      <c r="M24" s="532"/>
      <c r="N24" s="385"/>
      <c r="O24" s="386"/>
      <c r="P24" s="386"/>
      <c r="Q24" s="386"/>
      <c r="R24" s="387"/>
      <c r="S24" s="532"/>
      <c r="T24" s="385"/>
      <c r="U24" s="386"/>
      <c r="V24" s="386"/>
      <c r="W24" s="386"/>
      <c r="X24" s="387"/>
      <c r="Y24" s="532"/>
      <c r="Z24" s="20"/>
      <c r="AA24" s="20"/>
      <c r="AB24" s="20"/>
    </row>
    <row r="25" spans="1:28" x14ac:dyDescent="0.25">
      <c r="A25" s="20"/>
      <c r="B25" s="385"/>
      <c r="C25" s="386"/>
      <c r="D25" s="386"/>
      <c r="E25" s="386"/>
      <c r="F25" s="387"/>
      <c r="G25" s="532"/>
      <c r="H25" s="385"/>
      <c r="I25" s="386"/>
      <c r="J25" s="386"/>
      <c r="K25" s="386"/>
      <c r="L25" s="387"/>
      <c r="M25" s="532"/>
      <c r="N25" s="385"/>
      <c r="O25" s="386"/>
      <c r="P25" s="386"/>
      <c r="Q25" s="386"/>
      <c r="R25" s="387"/>
      <c r="S25" s="532"/>
      <c r="T25" s="385"/>
      <c r="U25" s="386"/>
      <c r="V25" s="386"/>
      <c r="W25" s="386"/>
      <c r="X25" s="387"/>
      <c r="Y25" s="532"/>
      <c r="Z25" s="20"/>
      <c r="AA25" s="20"/>
      <c r="AB25" s="20"/>
    </row>
    <row r="26" spans="1:28" x14ac:dyDescent="0.25">
      <c r="A26" s="20"/>
      <c r="B26" s="385"/>
      <c r="C26" s="386"/>
      <c r="D26" s="386"/>
      <c r="E26" s="386"/>
      <c r="F26" s="387"/>
      <c r="G26" s="532"/>
      <c r="H26" s="385"/>
      <c r="I26" s="386"/>
      <c r="J26" s="386"/>
      <c r="K26" s="386"/>
      <c r="L26" s="387"/>
      <c r="M26" s="532"/>
      <c r="N26" s="385"/>
      <c r="O26" s="386"/>
      <c r="P26" s="386"/>
      <c r="Q26" s="386"/>
      <c r="R26" s="387"/>
      <c r="S26" s="532"/>
      <c r="T26" s="385"/>
      <c r="U26" s="386"/>
      <c r="V26" s="386"/>
      <c r="W26" s="386"/>
      <c r="X26" s="387"/>
      <c r="Y26" s="532"/>
      <c r="Z26" s="20"/>
      <c r="AA26" s="20"/>
      <c r="AB26" s="20"/>
    </row>
    <row r="27" spans="1:28" x14ac:dyDescent="0.25">
      <c r="A27" s="20"/>
      <c r="B27" s="385"/>
      <c r="C27" s="386"/>
      <c r="D27" s="386"/>
      <c r="E27" s="386"/>
      <c r="F27" s="387"/>
      <c r="G27" s="532"/>
      <c r="H27" s="385"/>
      <c r="I27" s="386"/>
      <c r="J27" s="386"/>
      <c r="K27" s="386"/>
      <c r="L27" s="387"/>
      <c r="M27" s="532"/>
      <c r="N27" s="385"/>
      <c r="O27" s="386"/>
      <c r="P27" s="386"/>
      <c r="Q27" s="386"/>
      <c r="R27" s="387"/>
      <c r="S27" s="532"/>
      <c r="T27" s="385"/>
      <c r="U27" s="386"/>
      <c r="V27" s="386"/>
      <c r="W27" s="386"/>
      <c r="X27" s="387"/>
      <c r="Y27" s="532"/>
      <c r="Z27" s="20"/>
      <c r="AA27" s="20"/>
      <c r="AB27" s="20"/>
    </row>
    <row r="28" spans="1:28" x14ac:dyDescent="0.25">
      <c r="A28" s="20"/>
      <c r="B28" s="385"/>
      <c r="C28" s="386"/>
      <c r="D28" s="386"/>
      <c r="E28" s="386"/>
      <c r="F28" s="387"/>
      <c r="G28" s="532"/>
      <c r="H28" s="385"/>
      <c r="I28" s="386"/>
      <c r="J28" s="386"/>
      <c r="K28" s="386"/>
      <c r="L28" s="387"/>
      <c r="M28" s="532"/>
      <c r="N28" s="385"/>
      <c r="O28" s="386"/>
      <c r="P28" s="386"/>
      <c r="Q28" s="386"/>
      <c r="R28" s="387"/>
      <c r="S28" s="532"/>
      <c r="T28" s="385"/>
      <c r="U28" s="386"/>
      <c r="V28" s="386"/>
      <c r="W28" s="386"/>
      <c r="X28" s="387"/>
      <c r="Y28" s="532"/>
      <c r="Z28" s="20"/>
      <c r="AA28" s="20"/>
      <c r="AB28" s="20"/>
    </row>
    <row r="29" spans="1:28" x14ac:dyDescent="0.25">
      <c r="A29" s="20"/>
      <c r="B29" s="385"/>
      <c r="C29" s="386"/>
      <c r="D29" s="386"/>
      <c r="E29" s="386"/>
      <c r="F29" s="387"/>
      <c r="G29" s="532"/>
      <c r="H29" s="385"/>
      <c r="I29" s="386"/>
      <c r="J29" s="386"/>
      <c r="K29" s="386"/>
      <c r="L29" s="387"/>
      <c r="M29" s="532"/>
      <c r="N29" s="385"/>
      <c r="O29" s="386"/>
      <c r="P29" s="386"/>
      <c r="Q29" s="386"/>
      <c r="R29" s="387"/>
      <c r="S29" s="532"/>
      <c r="T29" s="385"/>
      <c r="U29" s="386"/>
      <c r="V29" s="386"/>
      <c r="W29" s="386"/>
      <c r="X29" s="387"/>
      <c r="Y29" s="532"/>
      <c r="Z29" s="20"/>
      <c r="AA29" s="20"/>
      <c r="AB29" s="20"/>
    </row>
    <row r="30" spans="1:28" x14ac:dyDescent="0.25">
      <c r="A30" s="20"/>
      <c r="B30" s="385"/>
      <c r="C30" s="386"/>
      <c r="D30" s="386"/>
      <c r="E30" s="386"/>
      <c r="F30" s="387"/>
      <c r="G30" s="532"/>
      <c r="H30" s="385"/>
      <c r="I30" s="386"/>
      <c r="J30" s="386"/>
      <c r="K30" s="386"/>
      <c r="L30" s="387"/>
      <c r="M30" s="532"/>
      <c r="N30" s="385"/>
      <c r="O30" s="386"/>
      <c r="P30" s="386"/>
      <c r="Q30" s="386"/>
      <c r="R30" s="387"/>
      <c r="S30" s="532"/>
      <c r="T30" s="385"/>
      <c r="U30" s="386"/>
      <c r="V30" s="386"/>
      <c r="W30" s="386"/>
      <c r="X30" s="387"/>
      <c r="Y30" s="532"/>
      <c r="Z30" s="20"/>
      <c r="AA30" s="20"/>
      <c r="AB30" s="20"/>
    </row>
    <row r="31" spans="1:28" x14ac:dyDescent="0.25">
      <c r="A31" s="20"/>
      <c r="B31" s="385"/>
      <c r="C31" s="386"/>
      <c r="D31" s="386"/>
      <c r="E31" s="386"/>
      <c r="F31" s="387"/>
      <c r="G31" s="532"/>
      <c r="H31" s="385"/>
      <c r="I31" s="386"/>
      <c r="J31" s="386"/>
      <c r="K31" s="386"/>
      <c r="L31" s="387"/>
      <c r="M31" s="532"/>
      <c r="N31" s="385"/>
      <c r="O31" s="386"/>
      <c r="P31" s="386"/>
      <c r="Q31" s="386"/>
      <c r="R31" s="387"/>
      <c r="S31" s="532"/>
      <c r="T31" s="385"/>
      <c r="U31" s="386"/>
      <c r="V31" s="386"/>
      <c r="W31" s="386"/>
      <c r="X31" s="387"/>
      <c r="Y31" s="532"/>
      <c r="Z31" s="20"/>
      <c r="AA31" s="20"/>
      <c r="AB31" s="20"/>
    </row>
    <row r="32" spans="1:28" x14ac:dyDescent="0.25">
      <c r="A32" s="20"/>
      <c r="B32" s="385"/>
      <c r="C32" s="386"/>
      <c r="D32" s="386"/>
      <c r="E32" s="386"/>
      <c r="F32" s="387"/>
      <c r="G32" s="532"/>
      <c r="H32" s="385"/>
      <c r="I32" s="386"/>
      <c r="J32" s="386"/>
      <c r="K32" s="386"/>
      <c r="L32" s="387"/>
      <c r="M32" s="532"/>
      <c r="N32" s="385"/>
      <c r="O32" s="386"/>
      <c r="P32" s="386"/>
      <c r="Q32" s="386"/>
      <c r="R32" s="387"/>
      <c r="S32" s="532"/>
      <c r="T32" s="385"/>
      <c r="U32" s="386"/>
      <c r="V32" s="386"/>
      <c r="W32" s="386"/>
      <c r="X32" s="387"/>
      <c r="Y32" s="532"/>
      <c r="Z32" s="20"/>
      <c r="AA32" s="20"/>
      <c r="AB32" s="20"/>
    </row>
    <row r="33" spans="1:28" x14ac:dyDescent="0.25">
      <c r="A33" s="20"/>
      <c r="B33" s="385"/>
      <c r="C33" s="386"/>
      <c r="D33" s="386"/>
      <c r="E33" s="386"/>
      <c r="F33" s="387"/>
      <c r="G33" s="532"/>
      <c r="H33" s="385"/>
      <c r="I33" s="386"/>
      <c r="J33" s="386"/>
      <c r="K33" s="386"/>
      <c r="L33" s="387"/>
      <c r="M33" s="532"/>
      <c r="N33" s="385"/>
      <c r="O33" s="386"/>
      <c r="P33" s="386"/>
      <c r="Q33" s="386"/>
      <c r="R33" s="387"/>
      <c r="S33" s="532"/>
      <c r="T33" s="385"/>
      <c r="U33" s="386"/>
      <c r="V33" s="386"/>
      <c r="W33" s="386"/>
      <c r="X33" s="387"/>
      <c r="Y33" s="532"/>
      <c r="Z33" s="20"/>
      <c r="AA33" s="20"/>
      <c r="AB33" s="20"/>
    </row>
    <row r="34" spans="1:28" x14ac:dyDescent="0.25">
      <c r="A34" s="20"/>
      <c r="B34" s="385"/>
      <c r="C34" s="386"/>
      <c r="D34" s="386"/>
      <c r="E34" s="386"/>
      <c r="F34" s="387"/>
      <c r="G34" s="532"/>
      <c r="H34" s="385"/>
      <c r="I34" s="386"/>
      <c r="J34" s="386"/>
      <c r="K34" s="386"/>
      <c r="L34" s="387"/>
      <c r="M34" s="532"/>
      <c r="N34" s="385"/>
      <c r="O34" s="386"/>
      <c r="P34" s="386"/>
      <c r="Q34" s="386"/>
      <c r="R34" s="387"/>
      <c r="S34" s="532"/>
      <c r="T34" s="385"/>
      <c r="U34" s="386"/>
      <c r="V34" s="386"/>
      <c r="W34" s="386"/>
      <c r="X34" s="387"/>
      <c r="Y34" s="532"/>
      <c r="Z34" s="20"/>
      <c r="AA34" s="20"/>
      <c r="AB34" s="20"/>
    </row>
    <row r="35" spans="1:28" x14ac:dyDescent="0.25">
      <c r="A35" s="20"/>
      <c r="B35" s="385"/>
      <c r="C35" s="386"/>
      <c r="D35" s="386"/>
      <c r="E35" s="386"/>
      <c r="F35" s="387"/>
      <c r="G35" s="532"/>
      <c r="H35" s="385"/>
      <c r="I35" s="386"/>
      <c r="J35" s="386"/>
      <c r="K35" s="386"/>
      <c r="L35" s="387"/>
      <c r="M35" s="532"/>
      <c r="N35" s="385"/>
      <c r="O35" s="386"/>
      <c r="P35" s="386"/>
      <c r="Q35" s="386"/>
      <c r="R35" s="387"/>
      <c r="S35" s="532"/>
      <c r="T35" s="385"/>
      <c r="U35" s="386"/>
      <c r="V35" s="386"/>
      <c r="W35" s="386"/>
      <c r="X35" s="387"/>
      <c r="Y35" s="532"/>
      <c r="Z35" s="20"/>
      <c r="AA35" s="20"/>
      <c r="AB35" s="20"/>
    </row>
    <row r="36" spans="1:28" x14ac:dyDescent="0.25">
      <c r="A36" s="20"/>
      <c r="B36" s="533" t="s">
        <v>86</v>
      </c>
      <c r="C36" s="534"/>
      <c r="D36" s="534"/>
      <c r="E36" s="534"/>
      <c r="F36" s="553">
        <f>IFERROR(SUM(F8:F35),0)</f>
        <v>8718.4</v>
      </c>
      <c r="G36" s="554"/>
      <c r="H36" s="551" t="s">
        <v>85</v>
      </c>
      <c r="I36" s="534"/>
      <c r="J36" s="534"/>
      <c r="K36" s="534"/>
      <c r="L36" s="553">
        <f>IFERROR(SUM(L8:L35),0)</f>
        <v>9386</v>
      </c>
      <c r="M36" s="554"/>
      <c r="N36" s="551" t="s">
        <v>84</v>
      </c>
      <c r="O36" s="534"/>
      <c r="P36" s="534"/>
      <c r="Q36" s="534"/>
      <c r="R36" s="553">
        <f>IFERROR(SUM(R8:R35),0)</f>
        <v>7286.9400000000005</v>
      </c>
      <c r="S36" s="554"/>
      <c r="T36" s="551" t="s">
        <v>87</v>
      </c>
      <c r="U36" s="534"/>
      <c r="V36" s="534"/>
      <c r="W36" s="534"/>
      <c r="X36" s="553">
        <f>IFERROR(SUM(X8:X35),0)</f>
        <v>6346</v>
      </c>
      <c r="Y36" s="557"/>
      <c r="Z36" s="20"/>
      <c r="AA36" s="20"/>
      <c r="AB36" s="20"/>
    </row>
    <row r="37" spans="1:28" ht="15.75" thickBot="1" x14ac:dyDescent="0.3">
      <c r="A37" s="20"/>
      <c r="B37" s="535"/>
      <c r="C37" s="536"/>
      <c r="D37" s="536"/>
      <c r="E37" s="536"/>
      <c r="F37" s="555"/>
      <c r="G37" s="556"/>
      <c r="H37" s="552"/>
      <c r="I37" s="536"/>
      <c r="J37" s="536"/>
      <c r="K37" s="536"/>
      <c r="L37" s="555"/>
      <c r="M37" s="556"/>
      <c r="N37" s="552"/>
      <c r="O37" s="536"/>
      <c r="P37" s="536"/>
      <c r="Q37" s="536"/>
      <c r="R37" s="555"/>
      <c r="S37" s="556"/>
      <c r="T37" s="552"/>
      <c r="U37" s="536"/>
      <c r="V37" s="536"/>
      <c r="W37" s="536"/>
      <c r="X37" s="555"/>
      <c r="Y37" s="558"/>
      <c r="Z37" s="20"/>
      <c r="AA37" s="20"/>
      <c r="AB37" s="20"/>
    </row>
    <row r="38" spans="1:28" ht="15" customHeight="1" x14ac:dyDescent="0.25">
      <c r="A38" s="20"/>
      <c r="B38" s="537" t="s">
        <v>126</v>
      </c>
      <c r="C38" s="538"/>
      <c r="D38" s="538"/>
      <c r="E38" s="538"/>
      <c r="F38" s="538"/>
      <c r="G38" s="538"/>
      <c r="H38" s="538"/>
      <c r="I38" s="541">
        <f>IFERROR(SUM(L36+F36+R36+X36),0)</f>
        <v>31737.340000000004</v>
      </c>
      <c r="J38" s="541"/>
      <c r="K38" s="541"/>
      <c r="L38" s="541"/>
      <c r="M38" s="541"/>
      <c r="N38" s="538" t="s">
        <v>127</v>
      </c>
      <c r="O38" s="538"/>
      <c r="P38" s="538"/>
      <c r="Q38" s="538"/>
      <c r="R38" s="538"/>
      <c r="S38" s="538"/>
      <c r="T38" s="538"/>
      <c r="U38" s="541">
        <f>(('Bonus Calc'!E14)*0.2)</f>
        <v>46422.868000000002</v>
      </c>
      <c r="V38" s="541"/>
      <c r="W38" s="541"/>
      <c r="X38" s="541"/>
      <c r="Y38" s="543"/>
      <c r="Z38" s="20"/>
      <c r="AA38" s="20"/>
      <c r="AB38" s="20"/>
    </row>
    <row r="39" spans="1:28" ht="15.75" customHeight="1" thickBot="1" x14ac:dyDescent="0.3">
      <c r="A39" s="20"/>
      <c r="B39" s="539"/>
      <c r="C39" s="540"/>
      <c r="D39" s="540"/>
      <c r="E39" s="540"/>
      <c r="F39" s="540"/>
      <c r="G39" s="540"/>
      <c r="H39" s="540"/>
      <c r="I39" s="542"/>
      <c r="J39" s="542"/>
      <c r="K39" s="542"/>
      <c r="L39" s="542"/>
      <c r="M39" s="542"/>
      <c r="N39" s="540"/>
      <c r="O39" s="540"/>
      <c r="P39" s="540"/>
      <c r="Q39" s="540"/>
      <c r="R39" s="540"/>
      <c r="S39" s="540"/>
      <c r="T39" s="540"/>
      <c r="U39" s="542"/>
      <c r="V39" s="542"/>
      <c r="W39" s="542"/>
      <c r="X39" s="542"/>
      <c r="Y39" s="544"/>
      <c r="Z39" s="20"/>
      <c r="AA39" s="20"/>
      <c r="AB39" s="20"/>
    </row>
    <row r="40" spans="1:2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</row>
    <row r="41" spans="1:2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</row>
    <row r="42" spans="1:2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</row>
    <row r="43" spans="1:2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</row>
    <row r="44" spans="1:28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</row>
    <row r="45" spans="1:28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</row>
    <row r="46" spans="1:28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</row>
  </sheetData>
  <mergeCells count="362">
    <mergeCell ref="B38:H39"/>
    <mergeCell ref="I38:M39"/>
    <mergeCell ref="N38:T39"/>
    <mergeCell ref="U38:Y39"/>
    <mergeCell ref="B2:Y3"/>
    <mergeCell ref="H36:K37"/>
    <mergeCell ref="N36:Q37"/>
    <mergeCell ref="T36:W37"/>
    <mergeCell ref="F36:G37"/>
    <mergeCell ref="L36:M37"/>
    <mergeCell ref="R36:S37"/>
    <mergeCell ref="X36:Y37"/>
    <mergeCell ref="V35:W35"/>
    <mergeCell ref="X35:Y35"/>
    <mergeCell ref="T34:U34"/>
    <mergeCell ref="V34:W34"/>
    <mergeCell ref="X34:Y34"/>
    <mergeCell ref="H35:I35"/>
    <mergeCell ref="J35:K35"/>
    <mergeCell ref="L35:M35"/>
    <mergeCell ref="N35:O35"/>
    <mergeCell ref="P35:Q35"/>
    <mergeCell ref="R35:S35"/>
    <mergeCell ref="T35:U35"/>
    <mergeCell ref="H34:I34"/>
    <mergeCell ref="J34:K34"/>
    <mergeCell ref="L34:M34"/>
    <mergeCell ref="N34:O34"/>
    <mergeCell ref="N33:O33"/>
    <mergeCell ref="P33:Q33"/>
    <mergeCell ref="R33:S33"/>
    <mergeCell ref="T33:U33"/>
    <mergeCell ref="V33:W33"/>
    <mergeCell ref="P34:Q34"/>
    <mergeCell ref="R34:S34"/>
    <mergeCell ref="X33:Y33"/>
    <mergeCell ref="H32:I32"/>
    <mergeCell ref="J32:K32"/>
    <mergeCell ref="L32:M32"/>
    <mergeCell ref="N32:O32"/>
    <mergeCell ref="P32:Q32"/>
    <mergeCell ref="R32:S32"/>
    <mergeCell ref="T32:U32"/>
    <mergeCell ref="V32:W32"/>
    <mergeCell ref="X32:Y32"/>
    <mergeCell ref="H33:I33"/>
    <mergeCell ref="J33:K33"/>
    <mergeCell ref="L33:M33"/>
    <mergeCell ref="T30:U30"/>
    <mergeCell ref="V30:W30"/>
    <mergeCell ref="X30:Y30"/>
    <mergeCell ref="H31:I31"/>
    <mergeCell ref="J31:K31"/>
    <mergeCell ref="L31:M31"/>
    <mergeCell ref="N31:O31"/>
    <mergeCell ref="P31:Q31"/>
    <mergeCell ref="R31:S31"/>
    <mergeCell ref="T31:U31"/>
    <mergeCell ref="H30:I30"/>
    <mergeCell ref="J30:K30"/>
    <mergeCell ref="L30:M30"/>
    <mergeCell ref="N30:O30"/>
    <mergeCell ref="P30:Q30"/>
    <mergeCell ref="R30:S30"/>
    <mergeCell ref="V31:W31"/>
    <mergeCell ref="X31:Y31"/>
    <mergeCell ref="H29:I29"/>
    <mergeCell ref="J29:K29"/>
    <mergeCell ref="L29:M29"/>
    <mergeCell ref="N29:O29"/>
    <mergeCell ref="P29:Q29"/>
    <mergeCell ref="R29:S29"/>
    <mergeCell ref="T29:U29"/>
    <mergeCell ref="V29:W29"/>
    <mergeCell ref="X29:Y29"/>
    <mergeCell ref="H28:I28"/>
    <mergeCell ref="J28:K28"/>
    <mergeCell ref="L28:M28"/>
    <mergeCell ref="N28:O28"/>
    <mergeCell ref="P28:Q28"/>
    <mergeCell ref="R28:S28"/>
    <mergeCell ref="T28:U28"/>
    <mergeCell ref="V28:W28"/>
    <mergeCell ref="X28:Y28"/>
    <mergeCell ref="T26:U26"/>
    <mergeCell ref="V26:W26"/>
    <mergeCell ref="X26:Y26"/>
    <mergeCell ref="H27:I27"/>
    <mergeCell ref="J27:K27"/>
    <mergeCell ref="L27:M27"/>
    <mergeCell ref="N27:O27"/>
    <mergeCell ref="P27:Q27"/>
    <mergeCell ref="R27:S27"/>
    <mergeCell ref="T27:U27"/>
    <mergeCell ref="H26:I26"/>
    <mergeCell ref="J26:K26"/>
    <mergeCell ref="L26:M26"/>
    <mergeCell ref="N26:O26"/>
    <mergeCell ref="P26:Q26"/>
    <mergeCell ref="R26:S26"/>
    <mergeCell ref="V27:W27"/>
    <mergeCell ref="X27:Y27"/>
    <mergeCell ref="H25:I25"/>
    <mergeCell ref="J25:K25"/>
    <mergeCell ref="L25:M25"/>
    <mergeCell ref="N25:O25"/>
    <mergeCell ref="P25:Q25"/>
    <mergeCell ref="R25:S25"/>
    <mergeCell ref="T25:U25"/>
    <mergeCell ref="V25:W25"/>
    <mergeCell ref="X25:Y25"/>
    <mergeCell ref="V23:W23"/>
    <mergeCell ref="X23:Y23"/>
    <mergeCell ref="H24:I24"/>
    <mergeCell ref="J24:K24"/>
    <mergeCell ref="L24:M24"/>
    <mergeCell ref="N24:O24"/>
    <mergeCell ref="P24:Q24"/>
    <mergeCell ref="R24:S24"/>
    <mergeCell ref="T24:U24"/>
    <mergeCell ref="V24:W24"/>
    <mergeCell ref="H23:I23"/>
    <mergeCell ref="J23:K23"/>
    <mergeCell ref="L23:M23"/>
    <mergeCell ref="N23:O23"/>
    <mergeCell ref="P23:Q23"/>
    <mergeCell ref="R23:S23"/>
    <mergeCell ref="T23:U23"/>
    <mergeCell ref="X24:Y24"/>
    <mergeCell ref="H22:I22"/>
    <mergeCell ref="J22:K22"/>
    <mergeCell ref="L22:M22"/>
    <mergeCell ref="N22:O22"/>
    <mergeCell ref="P22:Q22"/>
    <mergeCell ref="R22:S22"/>
    <mergeCell ref="T22:U22"/>
    <mergeCell ref="V22:W22"/>
    <mergeCell ref="X22:Y22"/>
    <mergeCell ref="H21:I21"/>
    <mergeCell ref="J21:K21"/>
    <mergeCell ref="L21:M21"/>
    <mergeCell ref="N21:O21"/>
    <mergeCell ref="P21:Q21"/>
    <mergeCell ref="R21:S21"/>
    <mergeCell ref="T21:U21"/>
    <mergeCell ref="V21:W21"/>
    <mergeCell ref="X21:Y21"/>
    <mergeCell ref="T19:U19"/>
    <mergeCell ref="V19:W19"/>
    <mergeCell ref="X19:Y19"/>
    <mergeCell ref="H20:I20"/>
    <mergeCell ref="J20:K20"/>
    <mergeCell ref="L20:M20"/>
    <mergeCell ref="N20:O20"/>
    <mergeCell ref="P20:Q20"/>
    <mergeCell ref="R20:S20"/>
    <mergeCell ref="T20:U20"/>
    <mergeCell ref="H19:I19"/>
    <mergeCell ref="J19:K19"/>
    <mergeCell ref="L19:M19"/>
    <mergeCell ref="N19:O19"/>
    <mergeCell ref="P19:Q19"/>
    <mergeCell ref="R19:S19"/>
    <mergeCell ref="V20:W20"/>
    <mergeCell ref="X20:Y20"/>
    <mergeCell ref="H18:I18"/>
    <mergeCell ref="J18:K18"/>
    <mergeCell ref="L18:M18"/>
    <mergeCell ref="N18:O18"/>
    <mergeCell ref="P18:Q18"/>
    <mergeCell ref="R18:S18"/>
    <mergeCell ref="T18:U18"/>
    <mergeCell ref="V18:W18"/>
    <mergeCell ref="X18:Y18"/>
    <mergeCell ref="H17:I17"/>
    <mergeCell ref="J17:K17"/>
    <mergeCell ref="L17:M17"/>
    <mergeCell ref="N17:O17"/>
    <mergeCell ref="P17:Q17"/>
    <mergeCell ref="R17:S17"/>
    <mergeCell ref="T17:U17"/>
    <mergeCell ref="V17:W17"/>
    <mergeCell ref="X17:Y17"/>
    <mergeCell ref="H16:I16"/>
    <mergeCell ref="J16:K16"/>
    <mergeCell ref="L16:M16"/>
    <mergeCell ref="N16:O16"/>
    <mergeCell ref="P16:Q16"/>
    <mergeCell ref="R16:S16"/>
    <mergeCell ref="T16:U16"/>
    <mergeCell ref="V16:W16"/>
    <mergeCell ref="X16:Y16"/>
    <mergeCell ref="R14:S14"/>
    <mergeCell ref="T14:U14"/>
    <mergeCell ref="V14:W14"/>
    <mergeCell ref="X14:Y14"/>
    <mergeCell ref="H15:I15"/>
    <mergeCell ref="J15:K15"/>
    <mergeCell ref="L15:M15"/>
    <mergeCell ref="N15:O15"/>
    <mergeCell ref="P15:Q15"/>
    <mergeCell ref="R15:S15"/>
    <mergeCell ref="T15:U15"/>
    <mergeCell ref="V15:W15"/>
    <mergeCell ref="X15:Y15"/>
    <mergeCell ref="H14:I14"/>
    <mergeCell ref="J14:K14"/>
    <mergeCell ref="L14:M14"/>
    <mergeCell ref="N14:O14"/>
    <mergeCell ref="P14:Q14"/>
    <mergeCell ref="H13:I13"/>
    <mergeCell ref="J13:K13"/>
    <mergeCell ref="L13:M13"/>
    <mergeCell ref="N13:O13"/>
    <mergeCell ref="L12:M12"/>
    <mergeCell ref="N12:O12"/>
    <mergeCell ref="P12:Q12"/>
    <mergeCell ref="R12:S12"/>
    <mergeCell ref="T12:U12"/>
    <mergeCell ref="V12:W12"/>
    <mergeCell ref="X12:Y12"/>
    <mergeCell ref="P13:Q13"/>
    <mergeCell ref="R13:S13"/>
    <mergeCell ref="T13:U13"/>
    <mergeCell ref="V13:W13"/>
    <mergeCell ref="X13:Y13"/>
    <mergeCell ref="T10:U10"/>
    <mergeCell ref="V10:W10"/>
    <mergeCell ref="X10:Y10"/>
    <mergeCell ref="H11:I11"/>
    <mergeCell ref="J11:K11"/>
    <mergeCell ref="L11:M11"/>
    <mergeCell ref="N11:O11"/>
    <mergeCell ref="P11:Q11"/>
    <mergeCell ref="R11:S11"/>
    <mergeCell ref="T11:U11"/>
    <mergeCell ref="V11:W11"/>
    <mergeCell ref="X11:Y11"/>
    <mergeCell ref="T8:U8"/>
    <mergeCell ref="V8:W8"/>
    <mergeCell ref="X8:Y8"/>
    <mergeCell ref="H9:I9"/>
    <mergeCell ref="J9:K9"/>
    <mergeCell ref="L9:M9"/>
    <mergeCell ref="N9:O9"/>
    <mergeCell ref="P9:Q9"/>
    <mergeCell ref="R9:S9"/>
    <mergeCell ref="H8:I8"/>
    <mergeCell ref="J8:K8"/>
    <mergeCell ref="L8:M8"/>
    <mergeCell ref="N8:O8"/>
    <mergeCell ref="P8:Q8"/>
    <mergeCell ref="T9:U9"/>
    <mergeCell ref="V9:W9"/>
    <mergeCell ref="X9:Y9"/>
    <mergeCell ref="F33:G33"/>
    <mergeCell ref="F34:G34"/>
    <mergeCell ref="F35:G35"/>
    <mergeCell ref="F25:G25"/>
    <mergeCell ref="F26:G26"/>
    <mergeCell ref="F27:G27"/>
    <mergeCell ref="F28:G28"/>
    <mergeCell ref="F29:G29"/>
    <mergeCell ref="F30:G30"/>
    <mergeCell ref="B9:C9"/>
    <mergeCell ref="B10:C10"/>
    <mergeCell ref="B11:C11"/>
    <mergeCell ref="D23:E23"/>
    <mergeCell ref="D24:E24"/>
    <mergeCell ref="D25:E25"/>
    <mergeCell ref="D26:E26"/>
    <mergeCell ref="D27:E27"/>
    <mergeCell ref="D17:E17"/>
    <mergeCell ref="D18:E18"/>
    <mergeCell ref="D19:E19"/>
    <mergeCell ref="D20:E20"/>
    <mergeCell ref="D21:E21"/>
    <mergeCell ref="D22:E22"/>
    <mergeCell ref="D14:E14"/>
    <mergeCell ref="D15:E15"/>
    <mergeCell ref="D16:E16"/>
    <mergeCell ref="B12:C12"/>
    <mergeCell ref="B22:C22"/>
    <mergeCell ref="B23:C23"/>
    <mergeCell ref="B24:C24"/>
    <mergeCell ref="B14:C14"/>
    <mergeCell ref="B15:C15"/>
    <mergeCell ref="B16:C16"/>
    <mergeCell ref="B17:C17"/>
    <mergeCell ref="B18:C18"/>
    <mergeCell ref="B19:C19"/>
    <mergeCell ref="H12:I12"/>
    <mergeCell ref="J12:K12"/>
    <mergeCell ref="B32:C32"/>
    <mergeCell ref="B33:C33"/>
    <mergeCell ref="B34:C34"/>
    <mergeCell ref="B35:C35"/>
    <mergeCell ref="B20:C20"/>
    <mergeCell ref="B21:C21"/>
    <mergeCell ref="F20:G20"/>
    <mergeCell ref="F21:G21"/>
    <mergeCell ref="F22:G22"/>
    <mergeCell ref="F23:G23"/>
    <mergeCell ref="F24:G24"/>
    <mergeCell ref="F14:G14"/>
    <mergeCell ref="F15:G15"/>
    <mergeCell ref="F16:G16"/>
    <mergeCell ref="F17:G17"/>
    <mergeCell ref="F18:G18"/>
    <mergeCell ref="F19:G19"/>
    <mergeCell ref="F31:G31"/>
    <mergeCell ref="F32:G32"/>
    <mergeCell ref="B36:E37"/>
    <mergeCell ref="B25:C25"/>
    <mergeCell ref="B26:C26"/>
    <mergeCell ref="B27:C27"/>
    <mergeCell ref="B28:C28"/>
    <mergeCell ref="B29:C29"/>
    <mergeCell ref="B30:C30"/>
    <mergeCell ref="D34:E34"/>
    <mergeCell ref="D35:E35"/>
    <mergeCell ref="D28:E28"/>
    <mergeCell ref="D29:E29"/>
    <mergeCell ref="D30:E30"/>
    <mergeCell ref="D31:E31"/>
    <mergeCell ref="D32:E32"/>
    <mergeCell ref="D33:E33"/>
    <mergeCell ref="B31:C31"/>
    <mergeCell ref="D8:E8"/>
    <mergeCell ref="D9:E9"/>
    <mergeCell ref="D10:E10"/>
    <mergeCell ref="D11:E11"/>
    <mergeCell ref="D12:E12"/>
    <mergeCell ref="B8:C8"/>
    <mergeCell ref="T7:U7"/>
    <mergeCell ref="V7:W7"/>
    <mergeCell ref="X7:Y7"/>
    <mergeCell ref="N7:O7"/>
    <mergeCell ref="P7:Q7"/>
    <mergeCell ref="R7:S7"/>
    <mergeCell ref="F8:G8"/>
    <mergeCell ref="F9:G9"/>
    <mergeCell ref="F10:G10"/>
    <mergeCell ref="F11:G11"/>
    <mergeCell ref="F12:G12"/>
    <mergeCell ref="R8:S8"/>
    <mergeCell ref="H10:I10"/>
    <mergeCell ref="J10:K10"/>
    <mergeCell ref="L10:M10"/>
    <mergeCell ref="N10:O10"/>
    <mergeCell ref="P10:Q10"/>
    <mergeCell ref="R10:S10"/>
    <mergeCell ref="B4:G6"/>
    <mergeCell ref="H4:M6"/>
    <mergeCell ref="N4:S6"/>
    <mergeCell ref="T4:Y6"/>
    <mergeCell ref="B7:C7"/>
    <mergeCell ref="D7:E7"/>
    <mergeCell ref="F7:G7"/>
    <mergeCell ref="H7:I7"/>
    <mergeCell ref="J7:K7"/>
    <mergeCell ref="L7:M7"/>
  </mergeCells>
  <conditionalFormatting sqref="B15:Y35 D12:G12 D11 F11 B8:G10 B14:G14 J8:Y14">
    <cfRule type="expression" dxfId="6" priority="4">
      <formula>MOD(ROW(),2)=0</formula>
    </cfRule>
  </conditionalFormatting>
  <conditionalFormatting sqref="B11:C11">
    <cfRule type="expression" dxfId="4" priority="3">
      <formula>MOD(ROW(),2)=0</formula>
    </cfRule>
  </conditionalFormatting>
  <conditionalFormatting sqref="B12:C12">
    <cfRule type="expression" dxfId="3" priority="2">
      <formula>MOD(ROW(),2)=0</formula>
    </cfRule>
  </conditionalFormatting>
  <conditionalFormatting sqref="H8:I14">
    <cfRule type="expression" dxfId="2" priority="1">
      <formula>MOD(ROW(),2)=0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Home</vt:lpstr>
      <vt:lpstr>Bonus Calc</vt:lpstr>
      <vt:lpstr>Input Sheet</vt:lpstr>
      <vt:lpstr>Dealership List</vt:lpstr>
      <vt:lpstr>Activity</vt:lpstr>
      <vt:lpstr>At-Risk</vt:lpstr>
      <vt:lpstr>Projected Cancellations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Dallan Turnbull</dc:creator>
  <cp:lastModifiedBy>Chris Hill</cp:lastModifiedBy>
  <dcterms:created xsi:type="dcterms:W3CDTF">2018-02-27T18:16:15Z</dcterms:created>
  <dcterms:modified xsi:type="dcterms:W3CDTF">2022-04-06T18:36:44Z</dcterms:modified>
</cp:coreProperties>
</file>